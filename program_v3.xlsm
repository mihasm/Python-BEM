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ha\Google Drive\PKP_Vetrna\Program izračun moči\"/>
    </mc:Choice>
  </mc:AlternateContent>
  <xr:revisionPtr revIDLastSave="0" documentId="13_ncr:1_{AA40D354-D700-4A6B-A845-E95F1E535D02}" xr6:coauthVersionLast="36" xr6:coauthVersionMax="36" xr10:uidLastSave="{00000000-0000-0000-0000-000000000000}"/>
  <bookViews>
    <workbookView xWindow="0" yWindow="0" windowWidth="19200" windowHeight="6618" activeTab="1" xr2:uid="{00000000-000D-0000-FFFF-FFFF00000000}"/>
  </bookViews>
  <sheets>
    <sheet name="program" sheetId="5" r:id="rId1"/>
    <sheet name="podatki" sheetId="3" r:id="rId2"/>
    <sheet name="podatki_lopatica" sheetId="11" r:id="rId3"/>
    <sheet name="qblade_podatki" sheetId="7" r:id="rId4"/>
    <sheet name="podatki_NACA0012" sheetId="12" r:id="rId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" i="5" l="1"/>
  <c r="K10" i="5" l="1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9" i="5"/>
  <c r="B37" i="5" l="1"/>
  <c r="D12" i="5" l="1"/>
  <c r="D16" i="5"/>
  <c r="D20" i="5"/>
  <c r="D24" i="5"/>
  <c r="D28" i="5"/>
  <c r="D14" i="5"/>
  <c r="D22" i="5"/>
  <c r="D26" i="5"/>
  <c r="D11" i="5"/>
  <c r="D19" i="5"/>
  <c r="D9" i="5"/>
  <c r="D13" i="5"/>
  <c r="D17" i="5"/>
  <c r="D21" i="5"/>
  <c r="D25" i="5"/>
  <c r="D29" i="5"/>
  <c r="D10" i="5"/>
  <c r="D18" i="5"/>
  <c r="D30" i="5"/>
  <c r="D15" i="5"/>
  <c r="D23" i="5"/>
  <c r="E23" i="5" s="1"/>
  <c r="D27" i="5"/>
  <c r="E20" i="5" l="1"/>
  <c r="F23" i="5"/>
  <c r="G23" i="5" s="1"/>
  <c r="E29" i="5"/>
  <c r="E13" i="5"/>
  <c r="E18" i="5"/>
  <c r="E27" i="5"/>
  <c r="E11" i="5"/>
  <c r="E17" i="5"/>
  <c r="E16" i="5"/>
  <c r="E19" i="5"/>
  <c r="E25" i="5"/>
  <c r="E14" i="5"/>
  <c r="E24" i="5"/>
  <c r="E22" i="5"/>
  <c r="E30" i="5"/>
  <c r="E28" i="5"/>
  <c r="E12" i="5"/>
  <c r="E15" i="5"/>
  <c r="E21" i="5"/>
  <c r="E26" i="5"/>
  <c r="E10" i="5"/>
  <c r="E9" i="5"/>
  <c r="J23" i="5"/>
  <c r="I23" i="5"/>
  <c r="L23" i="5" l="1"/>
  <c r="M23" i="5"/>
  <c r="F15" i="5"/>
  <c r="G15" i="5" s="1"/>
  <c r="F19" i="5"/>
  <c r="G19" i="5" s="1"/>
  <c r="F18" i="5"/>
  <c r="G18" i="5" s="1"/>
  <c r="F20" i="5"/>
  <c r="G20" i="5" s="1"/>
  <c r="F9" i="5"/>
  <c r="G9" i="5" s="1"/>
  <c r="F22" i="5"/>
  <c r="G22" i="5" s="1"/>
  <c r="F27" i="5"/>
  <c r="G27" i="5" s="1"/>
  <c r="F10" i="5"/>
  <c r="G10" i="5" s="1"/>
  <c r="F24" i="5"/>
  <c r="G24" i="5" s="1"/>
  <c r="F26" i="5"/>
  <c r="G26" i="5" s="1"/>
  <c r="F28" i="5"/>
  <c r="G28" i="5" s="1"/>
  <c r="F14" i="5"/>
  <c r="G14" i="5" s="1"/>
  <c r="F17" i="5"/>
  <c r="G17" i="5" s="1"/>
  <c r="F13" i="5"/>
  <c r="G13" i="5" s="1"/>
  <c r="F12" i="5"/>
  <c r="G12" i="5" s="1"/>
  <c r="F16" i="5"/>
  <c r="G16" i="5" s="1"/>
  <c r="F21" i="5"/>
  <c r="G21" i="5" s="1"/>
  <c r="F30" i="5"/>
  <c r="H30" i="5" s="1"/>
  <c r="F25" i="5"/>
  <c r="H25" i="5" s="1"/>
  <c r="F11" i="5"/>
  <c r="G11" i="5" s="1"/>
  <c r="F29" i="5"/>
  <c r="H29" i="5" s="1"/>
  <c r="H23" i="5"/>
  <c r="J19" i="5"/>
  <c r="J26" i="5"/>
  <c r="J24" i="5"/>
  <c r="I27" i="5"/>
  <c r="I12" i="5"/>
  <c r="I21" i="5"/>
  <c r="J10" i="5"/>
  <c r="I16" i="5"/>
  <c r="I15" i="5"/>
  <c r="I19" i="5"/>
  <c r="I26" i="5"/>
  <c r="I24" i="5"/>
  <c r="J27" i="5"/>
  <c r="J12" i="5"/>
  <c r="J21" i="5"/>
  <c r="I10" i="5"/>
  <c r="J16" i="5"/>
  <c r="J15" i="5"/>
  <c r="I22" i="5"/>
  <c r="I13" i="5"/>
  <c r="I18" i="5"/>
  <c r="J28" i="5"/>
  <c r="J9" i="5"/>
  <c r="I20" i="5"/>
  <c r="J14" i="5"/>
  <c r="I11" i="5"/>
  <c r="I17" i="5"/>
  <c r="J22" i="5"/>
  <c r="J13" i="5"/>
  <c r="J18" i="5"/>
  <c r="I28" i="5"/>
  <c r="I9" i="5"/>
  <c r="J20" i="5"/>
  <c r="I14" i="5"/>
  <c r="J11" i="5"/>
  <c r="J17" i="5"/>
  <c r="L24" i="5" l="1"/>
  <c r="L16" i="5"/>
  <c r="L13" i="5"/>
  <c r="L15" i="5"/>
  <c r="L10" i="5"/>
  <c r="L27" i="5"/>
  <c r="L22" i="5"/>
  <c r="L20" i="5"/>
  <c r="L21" i="5"/>
  <c r="L19" i="5"/>
  <c r="L12" i="5"/>
  <c r="L17" i="5"/>
  <c r="L26" i="5"/>
  <c r="L11" i="5"/>
  <c r="L14" i="5"/>
  <c r="L28" i="5"/>
  <c r="L18" i="5"/>
  <c r="L9" i="5"/>
  <c r="M26" i="5"/>
  <c r="O26" i="5" s="1"/>
  <c r="M19" i="5"/>
  <c r="O19" i="5" s="1"/>
  <c r="M21" i="5"/>
  <c r="O21" i="5" s="1"/>
  <c r="M17" i="5"/>
  <c r="O17" i="5" s="1"/>
  <c r="M24" i="5"/>
  <c r="O24" i="5" s="1"/>
  <c r="M15" i="5"/>
  <c r="O15" i="5" s="1"/>
  <c r="M13" i="5"/>
  <c r="O13" i="5" s="1"/>
  <c r="M22" i="5"/>
  <c r="O22" i="5" s="1"/>
  <c r="M11" i="5"/>
  <c r="O11" i="5" s="1"/>
  <c r="M16" i="5"/>
  <c r="O16" i="5" s="1"/>
  <c r="M14" i="5"/>
  <c r="O14" i="5" s="1"/>
  <c r="M10" i="5"/>
  <c r="O10" i="5" s="1"/>
  <c r="M20" i="5"/>
  <c r="O20" i="5" s="1"/>
  <c r="M12" i="5"/>
  <c r="O12" i="5" s="1"/>
  <c r="M28" i="5"/>
  <c r="O28" i="5" s="1"/>
  <c r="M27" i="5"/>
  <c r="M18" i="5"/>
  <c r="O18" i="5" s="1"/>
  <c r="M9" i="5"/>
  <c r="O9" i="5" s="1"/>
  <c r="H27" i="5"/>
  <c r="H24" i="5"/>
  <c r="H16" i="5"/>
  <c r="H9" i="5"/>
  <c r="H15" i="5"/>
  <c r="H21" i="5"/>
  <c r="H18" i="5"/>
  <c r="H28" i="5"/>
  <c r="H12" i="5"/>
  <c r="H20" i="5"/>
  <c r="G29" i="5"/>
  <c r="H22" i="5"/>
  <c r="H17" i="5"/>
  <c r="G25" i="5"/>
  <c r="G30" i="5"/>
  <c r="H26" i="5"/>
  <c r="H19" i="5"/>
  <c r="H13" i="5"/>
  <c r="H10" i="5"/>
  <c r="H14" i="5"/>
  <c r="H11" i="5"/>
  <c r="O23" i="5"/>
  <c r="N23" i="5"/>
  <c r="J25" i="5"/>
  <c r="I29" i="5"/>
  <c r="I30" i="5"/>
  <c r="J29" i="5"/>
  <c r="J30" i="5"/>
  <c r="I25" i="5"/>
  <c r="L30" i="5" l="1"/>
  <c r="N30" i="5" s="1"/>
  <c r="L29" i="5"/>
  <c r="N29" i="5" s="1"/>
  <c r="L25" i="5"/>
  <c r="N25" i="5" s="1"/>
  <c r="M29" i="5"/>
  <c r="O29" i="5" s="1"/>
  <c r="M25" i="5"/>
  <c r="O25" i="5" s="1"/>
  <c r="M30" i="5"/>
  <c r="O30" i="5" s="1"/>
  <c r="N12" i="5"/>
  <c r="P12" i="5" s="1"/>
  <c r="Q12" i="5" s="1"/>
  <c r="N21" i="5"/>
  <c r="P21" i="5" s="1"/>
  <c r="Q21" i="5" s="1"/>
  <c r="N20" i="5"/>
  <c r="P20" i="5" s="1"/>
  <c r="Q20" i="5" s="1"/>
  <c r="N9" i="5"/>
  <c r="P9" i="5" s="1"/>
  <c r="Q9" i="5" s="1"/>
  <c r="N15" i="5"/>
  <c r="P15" i="5" s="1"/>
  <c r="Q15" i="5" s="1"/>
  <c r="N19" i="5"/>
  <c r="P19" i="5" s="1"/>
  <c r="Q19" i="5" s="1"/>
  <c r="N22" i="5"/>
  <c r="P22" i="5" s="1"/>
  <c r="Q22" i="5" s="1"/>
  <c r="N17" i="5"/>
  <c r="P17" i="5" s="1"/>
  <c r="Q17" i="5" s="1"/>
  <c r="N24" i="5"/>
  <c r="P24" i="5" s="1"/>
  <c r="Q24" i="5" s="1"/>
  <c r="N27" i="5"/>
  <c r="N16" i="5"/>
  <c r="P16" i="5" s="1"/>
  <c r="Q16" i="5" s="1"/>
  <c r="N18" i="5"/>
  <c r="P18" i="5" s="1"/>
  <c r="Q18" i="5" s="1"/>
  <c r="N28" i="5"/>
  <c r="P28" i="5" s="1"/>
  <c r="Q28" i="5" s="1"/>
  <c r="N10" i="5"/>
  <c r="P10" i="5" s="1"/>
  <c r="Q10" i="5" s="1"/>
  <c r="N13" i="5"/>
  <c r="P13" i="5" s="1"/>
  <c r="Q13" i="5" s="1"/>
  <c r="N26" i="5"/>
  <c r="P26" i="5" s="1"/>
  <c r="Q26" i="5" s="1"/>
  <c r="N14" i="5"/>
  <c r="P14" i="5" s="1"/>
  <c r="Q14" i="5" s="1"/>
  <c r="N11" i="5"/>
  <c r="P11" i="5" s="1"/>
  <c r="Q11" i="5" s="1"/>
  <c r="O27" i="5"/>
  <c r="P23" i="5"/>
  <c r="Q23" i="5" s="1"/>
  <c r="P27" i="5" l="1"/>
  <c r="Q27" i="5" s="1"/>
  <c r="P29" i="5"/>
  <c r="Q29" i="5" s="1"/>
  <c r="P30" i="5"/>
  <c r="Q30" i="5" s="1"/>
  <c r="P25" i="5"/>
  <c r="Q25" i="5" s="1"/>
  <c r="B38" i="5" l="1"/>
  <c r="B39" i="5" l="1"/>
  <c r="B40" i="5" s="1"/>
  <c r="B44" i="5" l="1"/>
  <c r="B42" i="5"/>
</calcChain>
</file>

<file path=xl/sharedStrings.xml><?xml version="1.0" encoding="utf-8"?>
<sst xmlns="http://schemas.openxmlformats.org/spreadsheetml/2006/main" count="72" uniqueCount="60">
  <si>
    <t>Cp</t>
  </si>
  <si>
    <t>omega</t>
  </si>
  <si>
    <t>W</t>
  </si>
  <si>
    <t>rpm</t>
  </si>
  <si>
    <t>rad/s</t>
  </si>
  <si>
    <t>alfa</t>
  </si>
  <si>
    <t>rho</t>
  </si>
  <si>
    <t>v</t>
  </si>
  <si>
    <t>kg/m^3</t>
  </si>
  <si>
    <t>m/s</t>
  </si>
  <si>
    <t>cL</t>
  </si>
  <si>
    <t>cD</t>
  </si>
  <si>
    <t>c_L</t>
  </si>
  <si>
    <t>c_D</t>
  </si>
  <si>
    <t>Nm</t>
  </si>
  <si>
    <t>skupni moment</t>
  </si>
  <si>
    <t>moč</t>
  </si>
  <si>
    <t>PODATKI PREREZOV</t>
  </si>
  <si>
    <t>RELATIVNA SMER VETRA</t>
  </si>
  <si>
    <t>w [m/s]</t>
  </si>
  <si>
    <t>NAPADNI KOT</t>
  </si>
  <si>
    <t>VZGONSKA IN UPORNA SILA</t>
  </si>
  <si>
    <t>VRTILNI MOMENT</t>
  </si>
  <si>
    <t xml:space="preserve">Polmer od osi </t>
  </si>
  <si>
    <t>Dolžina tetive</t>
  </si>
  <si>
    <t>t [mm]</t>
  </si>
  <si>
    <t>r [mm]</t>
  </si>
  <si>
    <t>Nagib tetive</t>
  </si>
  <si>
    <t>α [°]</t>
  </si>
  <si>
    <t>Hitrost vetra zaradi vrtenja</t>
  </si>
  <si>
    <t xml:space="preserve"> u [m/s]</t>
  </si>
  <si>
    <t xml:space="preserve">Relativna hitrost vetra </t>
  </si>
  <si>
    <t xml:space="preserve">Kot med u in w </t>
  </si>
  <si>
    <t>Kot med prihajajočim vetrom in tetivo</t>
  </si>
  <si>
    <t>Kot med smerjo vrtenja in vzgonsko silo</t>
  </si>
  <si>
    <t>Koeficient vzgona</t>
  </si>
  <si>
    <t>Koeficient upora</t>
  </si>
  <si>
    <t>Sila vzgona</t>
  </si>
  <si>
    <t>Sila upora</t>
  </si>
  <si>
    <t>Sila vzgona v smeri vrtenja</t>
  </si>
  <si>
    <t>Sila upora v smeri vrtenja</t>
  </si>
  <si>
    <t>Skupna sila v smeri vrtenja</t>
  </si>
  <si>
    <t>Moment na danem prerezu</t>
  </si>
  <si>
    <t>F_L [N]</t>
  </si>
  <si>
    <t>F_D [N]</t>
  </si>
  <si>
    <t>F_Ly [N]</t>
  </si>
  <si>
    <t>F_Dy [N]</t>
  </si>
  <si>
    <t>F_T [N]</t>
  </si>
  <si>
    <t>M [Nm]</t>
  </si>
  <si>
    <t>β [deg]</t>
  </si>
  <si>
    <t>γ [deg]</t>
  </si>
  <si>
    <t>φ [deg]</t>
  </si>
  <si>
    <t>Višina prereza</t>
  </si>
  <si>
    <t>dr [m]</t>
  </si>
  <si>
    <t>alpha</t>
  </si>
  <si>
    <t>CL</t>
  </si>
  <si>
    <t>CD</t>
  </si>
  <si>
    <t>moč vetra</t>
  </si>
  <si>
    <t>moment*5</t>
  </si>
  <si>
    <t>MOČ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</si>
</sst>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000"/>
  </numFmts>
  <fonts count="2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charset val="238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0" borderId="0" xfId="1"/>
    <xf numFmtId="0" fontId="17" fillId="0" borderId="0" xfId="0" applyFont="1"/>
    <xf numFmtId="0" fontId="0" fillId="0" borderId="0" xfId="0" applyAlignment="1">
      <alignment wrapText="1"/>
    </xf>
    <xf numFmtId="2" fontId="17" fillId="0" borderId="0" xfId="0" applyNumberFormat="1" applyFont="1"/>
    <xf numFmtId="2" fontId="1" fillId="0" borderId="0" xfId="0" applyNumberFormat="1" applyFont="1"/>
    <xf numFmtId="0" fontId="0" fillId="35" borderId="0" xfId="0" applyFill="1" applyBorder="1" applyAlignment="1">
      <alignment wrapText="1"/>
    </xf>
    <xf numFmtId="0" fontId="0" fillId="36" borderId="0" xfId="0" applyFill="1" applyBorder="1"/>
    <xf numFmtId="0" fontId="0" fillId="34" borderId="0" xfId="0" applyFill="1" applyBorder="1" applyAlignment="1">
      <alignment wrapText="1"/>
    </xf>
    <xf numFmtId="0" fontId="0" fillId="37" borderId="0" xfId="0" applyFill="1" applyBorder="1"/>
    <xf numFmtId="0" fontId="0" fillId="42" borderId="0" xfId="0" applyFill="1" applyBorder="1" applyAlignment="1">
      <alignment wrapText="1"/>
    </xf>
    <xf numFmtId="0" fontId="0" fillId="40" borderId="0" xfId="0" applyFill="1" applyBorder="1"/>
    <xf numFmtId="164" fontId="0" fillId="40" borderId="0" xfId="0" applyNumberFormat="1" applyFill="1" applyBorder="1"/>
    <xf numFmtId="0" fontId="0" fillId="43" borderId="0" xfId="0" applyFill="1" applyBorder="1" applyAlignment="1">
      <alignment wrapText="1"/>
    </xf>
    <xf numFmtId="0" fontId="0" fillId="39" borderId="0" xfId="0" applyFill="1" applyBorder="1"/>
    <xf numFmtId="164" fontId="0" fillId="39" borderId="0" xfId="0" applyNumberFormat="1" applyFill="1" applyBorder="1"/>
    <xf numFmtId="0" fontId="21" fillId="35" borderId="0" xfId="0" applyFont="1" applyFill="1" applyBorder="1" applyAlignment="1">
      <alignment horizontal="center" wrapText="1"/>
    </xf>
    <xf numFmtId="0" fontId="21" fillId="34" borderId="0" xfId="0" applyFont="1" applyFill="1" applyBorder="1" applyAlignment="1">
      <alignment horizontal="center" wrapText="1"/>
    </xf>
    <xf numFmtId="0" fontId="21" fillId="42" borderId="0" xfId="0" applyFont="1" applyFill="1" applyBorder="1" applyAlignment="1">
      <alignment horizontal="center" wrapText="1"/>
    </xf>
    <xf numFmtId="0" fontId="21" fillId="43" borderId="0" xfId="0" applyFont="1" applyFill="1" applyBorder="1" applyAlignment="1">
      <alignment horizontal="center" wrapText="1"/>
    </xf>
    <xf numFmtId="0" fontId="20" fillId="45" borderId="0" xfId="0" applyFont="1" applyFill="1" applyBorder="1" applyAlignment="1">
      <alignment horizontal="center"/>
    </xf>
    <xf numFmtId="0" fontId="0" fillId="41" borderId="0" xfId="0" applyFill="1" applyBorder="1" applyAlignment="1">
      <alignment wrapText="1"/>
    </xf>
    <xf numFmtId="0" fontId="21" fillId="41" borderId="0" xfId="0" applyFont="1" applyFill="1" applyBorder="1" applyAlignment="1">
      <alignment horizontal="center" wrapText="1"/>
    </xf>
    <xf numFmtId="0" fontId="0" fillId="38" borderId="0" xfId="0" applyFill="1" applyBorder="1"/>
    <xf numFmtId="0" fontId="0" fillId="0" borderId="0" xfId="0" applyBorder="1"/>
    <xf numFmtId="0" fontId="19" fillId="48" borderId="0" xfId="0" applyFont="1" applyFill="1" applyBorder="1" applyAlignment="1">
      <alignment horizontal="center"/>
    </xf>
    <xf numFmtId="0" fontId="0" fillId="49" borderId="0" xfId="0" applyFill="1" applyBorder="1" applyAlignment="1">
      <alignment wrapText="1"/>
    </xf>
    <xf numFmtId="0" fontId="21" fillId="49" borderId="0" xfId="0" applyFont="1" applyFill="1" applyBorder="1" applyAlignment="1">
      <alignment horizontal="center" wrapText="1"/>
    </xf>
    <xf numFmtId="0" fontId="0" fillId="50" borderId="0" xfId="0" applyFill="1" applyBorder="1"/>
    <xf numFmtId="1" fontId="17" fillId="0" borderId="0" xfId="0" applyNumberFormat="1" applyFont="1"/>
    <xf numFmtId="164" fontId="17" fillId="0" borderId="0" xfId="0" applyNumberFormat="1" applyFont="1"/>
    <xf numFmtId="165" fontId="0" fillId="37" borderId="0" xfId="0" applyNumberFormat="1" applyFill="1" applyBorder="1"/>
    <xf numFmtId="165" fontId="0" fillId="38" borderId="0" xfId="0" applyNumberFormat="1" applyFill="1" applyBorder="1"/>
    <xf numFmtId="165" fontId="0" fillId="50" borderId="0" xfId="0" applyNumberFormat="1" applyFill="1" applyBorder="1"/>
    <xf numFmtId="166" fontId="0" fillId="40" borderId="0" xfId="0" applyNumberFormat="1" applyFill="1" applyBorder="1"/>
    <xf numFmtId="0" fontId="20" fillId="33" borderId="0" xfId="0" applyFont="1" applyFill="1" applyBorder="1" applyAlignment="1">
      <alignment horizontal="center"/>
    </xf>
    <xf numFmtId="0" fontId="20" fillId="44" borderId="0" xfId="0" applyFont="1" applyFill="1" applyBorder="1" applyAlignment="1">
      <alignment horizontal="center"/>
    </xf>
    <xf numFmtId="0" fontId="20" fillId="47" borderId="0" xfId="0" applyFont="1" applyFill="1" applyBorder="1" applyAlignment="1">
      <alignment horizontal="center"/>
    </xf>
    <xf numFmtId="0" fontId="20" fillId="46" borderId="0" xfId="0" applyFont="1" applyFill="1" applyBorder="1" applyAlignment="1">
      <alignment horizontal="center"/>
    </xf>
  </cellXfs>
  <cellStyles count="43">
    <cellStyle name="20 % – Poudarek1 2" xfId="20" xr:uid="{00000000-0005-0000-0000-000000000000}"/>
    <cellStyle name="20 % – Poudarek2 2" xfId="24" xr:uid="{00000000-0005-0000-0000-000001000000}"/>
    <cellStyle name="20 % – Poudarek3 2" xfId="28" xr:uid="{00000000-0005-0000-0000-000002000000}"/>
    <cellStyle name="20 % – Poudarek4 2" xfId="32" xr:uid="{00000000-0005-0000-0000-000003000000}"/>
    <cellStyle name="20 % – Poudarek5 2" xfId="36" xr:uid="{00000000-0005-0000-0000-000004000000}"/>
    <cellStyle name="20 % – Poudarek6 2" xfId="40" xr:uid="{00000000-0005-0000-0000-000005000000}"/>
    <cellStyle name="40 % – Poudarek1 2" xfId="21" xr:uid="{00000000-0005-0000-0000-000006000000}"/>
    <cellStyle name="40 % – Poudarek2 2" xfId="25" xr:uid="{00000000-0005-0000-0000-000007000000}"/>
    <cellStyle name="40 % – Poudarek3 2" xfId="29" xr:uid="{00000000-0005-0000-0000-000008000000}"/>
    <cellStyle name="40 % – Poudarek4 2" xfId="33" xr:uid="{00000000-0005-0000-0000-000009000000}"/>
    <cellStyle name="40 % – Poudarek5 2" xfId="37" xr:uid="{00000000-0005-0000-0000-00000A000000}"/>
    <cellStyle name="40 % – Poudarek6 2" xfId="41" xr:uid="{00000000-0005-0000-0000-00000B000000}"/>
    <cellStyle name="60 % – Poudarek1 2" xfId="22" xr:uid="{00000000-0005-0000-0000-00000C000000}"/>
    <cellStyle name="60 % – Poudarek2 2" xfId="26" xr:uid="{00000000-0005-0000-0000-00000D000000}"/>
    <cellStyle name="60 % – Poudarek3 2" xfId="30" xr:uid="{00000000-0005-0000-0000-00000E000000}"/>
    <cellStyle name="60 % – Poudarek4 2" xfId="34" xr:uid="{00000000-0005-0000-0000-00000F000000}"/>
    <cellStyle name="60 % – Poudarek5 2" xfId="38" xr:uid="{00000000-0005-0000-0000-000010000000}"/>
    <cellStyle name="60 % – Poudarek6 2" xfId="42" xr:uid="{00000000-0005-0000-0000-000011000000}"/>
    <cellStyle name="Dobro 2" xfId="7" xr:uid="{00000000-0005-0000-0000-000012000000}"/>
    <cellStyle name="Izhod 2" xfId="11" xr:uid="{00000000-0005-0000-0000-000013000000}"/>
    <cellStyle name="Naslov 1 2" xfId="3" xr:uid="{00000000-0005-0000-0000-000014000000}"/>
    <cellStyle name="Naslov 2 2" xfId="4" xr:uid="{00000000-0005-0000-0000-000015000000}"/>
    <cellStyle name="Naslov 3 2" xfId="5" xr:uid="{00000000-0005-0000-0000-000016000000}"/>
    <cellStyle name="Naslov 4 2" xfId="6" xr:uid="{00000000-0005-0000-0000-000017000000}"/>
    <cellStyle name="Naslov 5" xfId="2" xr:uid="{00000000-0005-0000-0000-000018000000}"/>
    <cellStyle name="Navadno 2" xfId="1" xr:uid="{00000000-0005-0000-0000-00001A000000}"/>
    <cellStyle name="Nevtralno 2" xfId="9" xr:uid="{00000000-0005-0000-0000-00001B000000}"/>
    <cellStyle name="Normal" xfId="0" builtinId="0"/>
    <cellStyle name="Opomba 2" xfId="16" xr:uid="{00000000-0005-0000-0000-00001C000000}"/>
    <cellStyle name="Opozorilo 2" xfId="15" xr:uid="{00000000-0005-0000-0000-00001D000000}"/>
    <cellStyle name="Pojasnjevalno besedilo 2" xfId="17" xr:uid="{00000000-0005-0000-0000-00001E000000}"/>
    <cellStyle name="Poudarek1 2" xfId="19" xr:uid="{00000000-0005-0000-0000-00001F000000}"/>
    <cellStyle name="Poudarek2 2" xfId="23" xr:uid="{00000000-0005-0000-0000-000020000000}"/>
    <cellStyle name="Poudarek3 2" xfId="27" xr:uid="{00000000-0005-0000-0000-000021000000}"/>
    <cellStyle name="Poudarek4 2" xfId="31" xr:uid="{00000000-0005-0000-0000-000022000000}"/>
    <cellStyle name="Poudarek5 2" xfId="35" xr:uid="{00000000-0005-0000-0000-000023000000}"/>
    <cellStyle name="Poudarek6 2" xfId="39" xr:uid="{00000000-0005-0000-0000-000024000000}"/>
    <cellStyle name="Povezana celica 2" xfId="13" xr:uid="{00000000-0005-0000-0000-000025000000}"/>
    <cellStyle name="Preveri celico 2" xfId="14" xr:uid="{00000000-0005-0000-0000-000026000000}"/>
    <cellStyle name="Računanje 2" xfId="12" xr:uid="{00000000-0005-0000-0000-000027000000}"/>
    <cellStyle name="Slabo 2" xfId="8" xr:uid="{00000000-0005-0000-0000-000028000000}"/>
    <cellStyle name="Vnos 2" xfId="10" xr:uid="{00000000-0005-0000-0000-000029000000}"/>
    <cellStyle name="Vsota 2" xfId="18" xr:uid="{00000000-0005-0000-0000-00002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podatki!$B$1</c:f>
              <c:strCache>
                <c:ptCount val="1"/>
                <c:pt idx="0">
                  <c:v>cL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podatki!$A$2:$A$146</c:f>
              <c:numCache>
                <c:formatCode>General</c:formatCode>
                <c:ptCount val="145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  <c:pt idx="84">
                  <c:v>21</c:v>
                </c:pt>
                <c:pt idx="85">
                  <c:v>21.5</c:v>
                </c:pt>
                <c:pt idx="86">
                  <c:v>22</c:v>
                </c:pt>
                <c:pt idx="87">
                  <c:v>22.5</c:v>
                </c:pt>
                <c:pt idx="88">
                  <c:v>23</c:v>
                </c:pt>
              </c:numCache>
            </c:numRef>
          </c:xVal>
          <c:yVal>
            <c:numRef>
              <c:f>podatki!$B$2:$B$146</c:f>
              <c:numCache>
                <c:formatCode>General</c:formatCode>
                <c:ptCount val="145"/>
                <c:pt idx="0">
                  <c:v>-0.72560000000000002</c:v>
                </c:pt>
                <c:pt idx="1">
                  <c:v>-0.70899999999999996</c:v>
                </c:pt>
                <c:pt idx="2">
                  <c:v>-0.69310000000000005</c:v>
                </c:pt>
                <c:pt idx="3">
                  <c:v>-0.67730000000000001</c:v>
                </c:pt>
                <c:pt idx="4">
                  <c:v>-0.66149999999999998</c:v>
                </c:pt>
                <c:pt idx="5">
                  <c:v>-0.64539999999999997</c:v>
                </c:pt>
                <c:pt idx="6">
                  <c:v>-0.62929999999999997</c:v>
                </c:pt>
                <c:pt idx="7">
                  <c:v>-0.61299999999999999</c:v>
                </c:pt>
                <c:pt idx="8">
                  <c:v>-0.59670000000000001</c:v>
                </c:pt>
                <c:pt idx="9">
                  <c:v>-0.58009999999999995</c:v>
                </c:pt>
                <c:pt idx="10">
                  <c:v>-0.56320000000000003</c:v>
                </c:pt>
                <c:pt idx="11">
                  <c:v>-0.54959999999999998</c:v>
                </c:pt>
                <c:pt idx="12">
                  <c:v>-0.53749999999999998</c:v>
                </c:pt>
                <c:pt idx="13">
                  <c:v>-0.52500000000000002</c:v>
                </c:pt>
                <c:pt idx="14">
                  <c:v>-0.51219999999999999</c:v>
                </c:pt>
                <c:pt idx="15">
                  <c:v>-0.49980000000000002</c:v>
                </c:pt>
                <c:pt idx="16">
                  <c:v>-0.4879</c:v>
                </c:pt>
                <c:pt idx="17">
                  <c:v>-0.47639999999999999</c:v>
                </c:pt>
                <c:pt idx="18">
                  <c:v>-0.4657</c:v>
                </c:pt>
                <c:pt idx="19">
                  <c:v>-0.45550000000000002</c:v>
                </c:pt>
                <c:pt idx="20">
                  <c:v>-0.4461</c:v>
                </c:pt>
                <c:pt idx="21">
                  <c:v>-0.43809999999999999</c:v>
                </c:pt>
                <c:pt idx="22">
                  <c:v>-0.44</c:v>
                </c:pt>
                <c:pt idx="23">
                  <c:v>-0.74560000000000004</c:v>
                </c:pt>
                <c:pt idx="24">
                  <c:v>-0.79759999999999998</c:v>
                </c:pt>
                <c:pt idx="25">
                  <c:v>-0.77210000000000001</c:v>
                </c:pt>
                <c:pt idx="26">
                  <c:v>-0.72640000000000005</c:v>
                </c:pt>
                <c:pt idx="27">
                  <c:v>-0.68769999999999998</c:v>
                </c:pt>
                <c:pt idx="28">
                  <c:v>-0.64859999999999995</c:v>
                </c:pt>
                <c:pt idx="29">
                  <c:v>-0.61219999999999997</c:v>
                </c:pt>
                <c:pt idx="30">
                  <c:v>-0.5484</c:v>
                </c:pt>
                <c:pt idx="31">
                  <c:v>-0.48159999999999997</c:v>
                </c:pt>
                <c:pt idx="32">
                  <c:v>-0.40629999999999999</c:v>
                </c:pt>
                <c:pt idx="33">
                  <c:v>-0.3301</c:v>
                </c:pt>
                <c:pt idx="34">
                  <c:v>-0.25030000000000002</c:v>
                </c:pt>
                <c:pt idx="35">
                  <c:v>-0.17480000000000001</c:v>
                </c:pt>
                <c:pt idx="36">
                  <c:v>-9.5000000000000001E-2</c:v>
                </c:pt>
                <c:pt idx="37">
                  <c:v>-2.5000000000000001E-2</c:v>
                </c:pt>
                <c:pt idx="38">
                  <c:v>5.4300000000000001E-2</c:v>
                </c:pt>
                <c:pt idx="39">
                  <c:v>0.12139999999999999</c:v>
                </c:pt>
                <c:pt idx="40">
                  <c:v>0.18990000000000001</c:v>
                </c:pt>
                <c:pt idx="41">
                  <c:v>0.25769999999999998</c:v>
                </c:pt>
                <c:pt idx="42">
                  <c:v>0.33169999999999999</c:v>
                </c:pt>
                <c:pt idx="43">
                  <c:v>0.38279999999999997</c:v>
                </c:pt>
                <c:pt idx="44">
                  <c:v>0.43919999999999998</c:v>
                </c:pt>
                <c:pt idx="45">
                  <c:v>0.49580000000000002</c:v>
                </c:pt>
                <c:pt idx="46">
                  <c:v>0.55259999999999998</c:v>
                </c:pt>
                <c:pt idx="47">
                  <c:v>0.60919999999999996</c:v>
                </c:pt>
                <c:pt idx="48">
                  <c:v>0.66579999999999995</c:v>
                </c:pt>
                <c:pt idx="49">
                  <c:v>0.77529999999999999</c:v>
                </c:pt>
                <c:pt idx="50">
                  <c:v>0.82830000000000004</c:v>
                </c:pt>
                <c:pt idx="51">
                  <c:v>0.87809999999999999</c:v>
                </c:pt>
                <c:pt idx="52">
                  <c:v>0.92559999999999998</c:v>
                </c:pt>
                <c:pt idx="53">
                  <c:v>0.96350000000000002</c:v>
                </c:pt>
                <c:pt idx="54">
                  <c:v>0.99460000000000004</c:v>
                </c:pt>
                <c:pt idx="55">
                  <c:v>1.0353000000000001</c:v>
                </c:pt>
                <c:pt idx="56">
                  <c:v>1.0764</c:v>
                </c:pt>
                <c:pt idx="57">
                  <c:v>1.1103000000000001</c:v>
                </c:pt>
                <c:pt idx="58">
                  <c:v>1.1516999999999999</c:v>
                </c:pt>
                <c:pt idx="59">
                  <c:v>1.1913</c:v>
                </c:pt>
                <c:pt idx="60">
                  <c:v>1.2229000000000001</c:v>
                </c:pt>
                <c:pt idx="61">
                  <c:v>1.2573000000000001</c:v>
                </c:pt>
                <c:pt idx="62">
                  <c:v>1.2778</c:v>
                </c:pt>
                <c:pt idx="63">
                  <c:v>1.2813000000000001</c:v>
                </c:pt>
                <c:pt idx="64">
                  <c:v>1.292</c:v>
                </c:pt>
                <c:pt idx="65">
                  <c:v>1.3016000000000001</c:v>
                </c:pt>
                <c:pt idx="66">
                  <c:v>1.3101</c:v>
                </c:pt>
                <c:pt idx="67">
                  <c:v>1.3165</c:v>
                </c:pt>
                <c:pt idx="68">
                  <c:v>1.3133999999999999</c:v>
                </c:pt>
                <c:pt idx="69">
                  <c:v>1.2949999999999999</c:v>
                </c:pt>
                <c:pt idx="70">
                  <c:v>1.2606999999999999</c:v>
                </c:pt>
                <c:pt idx="71">
                  <c:v>1.2105999999999999</c:v>
                </c:pt>
                <c:pt idx="72">
                  <c:v>1.1565000000000001</c:v>
                </c:pt>
                <c:pt idx="73">
                  <c:v>1.1301000000000001</c:v>
                </c:pt>
                <c:pt idx="74">
                  <c:v>1.0992</c:v>
                </c:pt>
                <c:pt idx="75">
                  <c:v>1.0525</c:v>
                </c:pt>
                <c:pt idx="76">
                  <c:v>0.91390000000000005</c:v>
                </c:pt>
                <c:pt idx="77">
                  <c:v>0.92230000000000001</c:v>
                </c:pt>
                <c:pt idx="78">
                  <c:v>0.93159999999999998</c:v>
                </c:pt>
                <c:pt idx="79">
                  <c:v>0.9415</c:v>
                </c:pt>
                <c:pt idx="80">
                  <c:v>0.95169999999999999</c:v>
                </c:pt>
                <c:pt idx="81">
                  <c:v>0.96220000000000006</c:v>
                </c:pt>
                <c:pt idx="82">
                  <c:v>0.97270000000000001</c:v>
                </c:pt>
                <c:pt idx="83">
                  <c:v>0.98329999999999995</c:v>
                </c:pt>
                <c:pt idx="84">
                  <c:v>0.99390000000000001</c:v>
                </c:pt>
                <c:pt idx="85">
                  <c:v>1.0044</c:v>
                </c:pt>
                <c:pt idx="86">
                  <c:v>1.0137</c:v>
                </c:pt>
                <c:pt idx="87">
                  <c:v>1.0225</c:v>
                </c:pt>
                <c:pt idx="88">
                  <c:v>1.0329999999999999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B-4771-8554-20A5C059D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06431"/>
        <c:axId val="767990735"/>
      </c:scatterChart>
      <c:valAx>
        <c:axId val="75880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0735"/>
        <c:crosses val="autoZero"/>
        <c:crossBetween val="midCat"/>
      </c:valAx>
      <c:valAx>
        <c:axId val="7679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06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podatki!$E$1</c:f>
              <c:strCache>
                <c:ptCount val="1"/>
                <c:pt idx="0">
                  <c:v>cD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podatki!$D$2:$D$85</c:f>
              <c:numCache>
                <c:formatCode>General</c:formatCode>
                <c:ptCount val="84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</c:numCache>
            </c:numRef>
          </c:xVal>
          <c:yVal>
            <c:numRef>
              <c:f>podatki!$E$2:$E$85</c:f>
              <c:numCache>
                <c:formatCode>General</c:formatCode>
                <c:ptCount val="84"/>
                <c:pt idx="0">
                  <c:v>0.27666000000000002</c:v>
                </c:pt>
                <c:pt idx="1">
                  <c:v>0.26956000000000002</c:v>
                </c:pt>
                <c:pt idx="2">
                  <c:v>0.26319999999999999</c:v>
                </c:pt>
                <c:pt idx="3">
                  <c:v>0.25678000000000001</c:v>
                </c:pt>
                <c:pt idx="4">
                  <c:v>0.25042999999999999</c:v>
                </c:pt>
                <c:pt idx="5">
                  <c:v>0.24415000000000001</c:v>
                </c:pt>
                <c:pt idx="6">
                  <c:v>0.23798</c:v>
                </c:pt>
                <c:pt idx="7">
                  <c:v>0.2319</c:v>
                </c:pt>
                <c:pt idx="8">
                  <c:v>0.22592000000000001</c:v>
                </c:pt>
                <c:pt idx="9">
                  <c:v>0.22012000000000001</c:v>
                </c:pt>
                <c:pt idx="10">
                  <c:v>0.21539</c:v>
                </c:pt>
                <c:pt idx="11">
                  <c:v>0.21115999999999999</c:v>
                </c:pt>
                <c:pt idx="12">
                  <c:v>0.20594999999999999</c:v>
                </c:pt>
                <c:pt idx="13">
                  <c:v>0.19986000000000001</c:v>
                </c:pt>
                <c:pt idx="14">
                  <c:v>0.19320999999999999</c:v>
                </c:pt>
                <c:pt idx="15">
                  <c:v>0.18622</c:v>
                </c:pt>
                <c:pt idx="16">
                  <c:v>0.17896000000000001</c:v>
                </c:pt>
                <c:pt idx="17">
                  <c:v>0.17146</c:v>
                </c:pt>
                <c:pt idx="18">
                  <c:v>0.16378999999999999</c:v>
                </c:pt>
                <c:pt idx="19">
                  <c:v>0.15573999999999999</c:v>
                </c:pt>
                <c:pt idx="20">
                  <c:v>0.14752000000000001</c:v>
                </c:pt>
                <c:pt idx="21">
                  <c:v>0.13893</c:v>
                </c:pt>
                <c:pt idx="22">
                  <c:v>0.12623000000000001</c:v>
                </c:pt>
                <c:pt idx="23">
                  <c:v>4.7300000000000002E-2</c:v>
                </c:pt>
                <c:pt idx="24">
                  <c:v>3.1140000000000001E-2</c:v>
                </c:pt>
                <c:pt idx="25">
                  <c:v>2.6239999999999999E-2</c:v>
                </c:pt>
                <c:pt idx="26">
                  <c:v>2.7349999999999999E-2</c:v>
                </c:pt>
                <c:pt idx="27">
                  <c:v>2.6689999999999998E-2</c:v>
                </c:pt>
                <c:pt idx="28">
                  <c:v>2.768E-2</c:v>
                </c:pt>
                <c:pt idx="29">
                  <c:v>2.8299999999999999E-2</c:v>
                </c:pt>
                <c:pt idx="30">
                  <c:v>3.041E-2</c:v>
                </c:pt>
                <c:pt idx="31">
                  <c:v>2.477E-2</c:v>
                </c:pt>
                <c:pt idx="32">
                  <c:v>2.581E-2</c:v>
                </c:pt>
                <c:pt idx="33">
                  <c:v>2.4160000000000001E-2</c:v>
                </c:pt>
                <c:pt idx="34">
                  <c:v>2.044E-2</c:v>
                </c:pt>
                <c:pt idx="35">
                  <c:v>1.8180000000000002E-2</c:v>
                </c:pt>
                <c:pt idx="36">
                  <c:v>1.5650000000000001E-2</c:v>
                </c:pt>
                <c:pt idx="37">
                  <c:v>1.47E-2</c:v>
                </c:pt>
                <c:pt idx="38">
                  <c:v>1.362E-2</c:v>
                </c:pt>
                <c:pt idx="39">
                  <c:v>1.264E-2</c:v>
                </c:pt>
                <c:pt idx="40">
                  <c:v>1.17E-2</c:v>
                </c:pt>
                <c:pt idx="41">
                  <c:v>1.043E-2</c:v>
                </c:pt>
                <c:pt idx="42">
                  <c:v>9.3900000000000008E-3</c:v>
                </c:pt>
                <c:pt idx="43">
                  <c:v>8.5299999999999994E-3</c:v>
                </c:pt>
                <c:pt idx="44">
                  <c:v>8.6499999999999997E-3</c:v>
                </c:pt>
                <c:pt idx="45">
                  <c:v>8.8299999999999993E-3</c:v>
                </c:pt>
                <c:pt idx="46">
                  <c:v>9.0600000000000003E-3</c:v>
                </c:pt>
                <c:pt idx="47">
                  <c:v>9.4299999999999991E-3</c:v>
                </c:pt>
                <c:pt idx="48">
                  <c:v>9.7900000000000001E-3</c:v>
                </c:pt>
                <c:pt idx="49">
                  <c:v>1.0659999999999999E-2</c:v>
                </c:pt>
                <c:pt idx="50">
                  <c:v>1.1140000000000001E-2</c:v>
                </c:pt>
                <c:pt idx="51">
                  <c:v>1.174E-2</c:v>
                </c:pt>
                <c:pt idx="52">
                  <c:v>1.2540000000000001E-2</c:v>
                </c:pt>
                <c:pt idx="53">
                  <c:v>1.4E-2</c:v>
                </c:pt>
                <c:pt idx="54">
                  <c:v>1.6129999999999999E-2</c:v>
                </c:pt>
                <c:pt idx="55">
                  <c:v>1.7350000000000001E-2</c:v>
                </c:pt>
                <c:pt idx="56">
                  <c:v>1.8370000000000001E-2</c:v>
                </c:pt>
                <c:pt idx="57">
                  <c:v>1.9779999999999999E-2</c:v>
                </c:pt>
                <c:pt idx="58">
                  <c:v>2.0500000000000001E-2</c:v>
                </c:pt>
                <c:pt idx="59">
                  <c:v>2.128E-2</c:v>
                </c:pt>
                <c:pt idx="60">
                  <c:v>2.248E-2</c:v>
                </c:pt>
                <c:pt idx="61">
                  <c:v>2.3439999999999999E-2</c:v>
                </c:pt>
                <c:pt idx="62">
                  <c:v>2.5489999999999999E-2</c:v>
                </c:pt>
                <c:pt idx="63">
                  <c:v>2.8920000000000001E-2</c:v>
                </c:pt>
                <c:pt idx="64">
                  <c:v>3.2149999999999998E-2</c:v>
                </c:pt>
                <c:pt idx="65">
                  <c:v>3.5909999999999997E-2</c:v>
                </c:pt>
                <c:pt idx="66">
                  <c:v>4.0160000000000001E-2</c:v>
                </c:pt>
                <c:pt idx="67">
                  <c:v>4.5069999999999999E-2</c:v>
                </c:pt>
                <c:pt idx="68">
                  <c:v>5.1299999999999998E-2</c:v>
                </c:pt>
                <c:pt idx="69">
                  <c:v>5.917E-2</c:v>
                </c:pt>
                <c:pt idx="70">
                  <c:v>6.93E-2</c:v>
                </c:pt>
                <c:pt idx="71">
                  <c:v>8.2430000000000003E-2</c:v>
                </c:pt>
                <c:pt idx="72">
                  <c:v>9.7659999999999997E-2</c:v>
                </c:pt>
                <c:pt idx="73">
                  <c:v>0.11011</c:v>
                </c:pt>
                <c:pt idx="74">
                  <c:v>0.12520999999999999</c:v>
                </c:pt>
                <c:pt idx="75">
                  <c:v>0.14696999999999999</c:v>
                </c:pt>
                <c:pt idx="76">
                  <c:v>0.21054999999999999</c:v>
                </c:pt>
                <c:pt idx="77">
                  <c:v>0.22036</c:v>
                </c:pt>
                <c:pt idx="78">
                  <c:v>0.22996</c:v>
                </c:pt>
                <c:pt idx="79">
                  <c:v>0.23938999999999999</c:v>
                </c:pt>
                <c:pt idx="80">
                  <c:v>0.24868000000000001</c:v>
                </c:pt>
                <c:pt idx="81">
                  <c:v>0.25783</c:v>
                </c:pt>
                <c:pt idx="82">
                  <c:v>0.26684000000000002</c:v>
                </c:pt>
                <c:pt idx="83">
                  <c:v>0.27567999999999998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33-4EF1-8C2E-256DAF120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608447"/>
        <c:axId val="860295375"/>
      </c:scatterChart>
      <c:valAx>
        <c:axId val="863608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95375"/>
        <c:crosses val="autoZero"/>
        <c:crossBetween val="midCat"/>
      </c:valAx>
      <c:valAx>
        <c:axId val="86029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08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qblade_podatki!$B$1</c:f>
              <c:strCache>
                <c:ptCount val="1"/>
                <c:pt idx="0">
                  <c:v>CL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qblade_podatki!$A$2:$A$90</c:f>
              <c:numCache>
                <c:formatCode>General</c:formatCode>
                <c:ptCount val="89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  <c:pt idx="84">
                  <c:v>21</c:v>
                </c:pt>
                <c:pt idx="85">
                  <c:v>21.5</c:v>
                </c:pt>
                <c:pt idx="86">
                  <c:v>22</c:v>
                </c:pt>
                <c:pt idx="87">
                  <c:v>22.5</c:v>
                </c:pt>
                <c:pt idx="88">
                  <c:v>23</c:v>
                </c:pt>
              </c:numCache>
            </c:numRef>
          </c:xVal>
          <c:yVal>
            <c:numRef>
              <c:f>qblade_podatki!$B$2:$B$90</c:f>
              <c:numCache>
                <c:formatCode>General</c:formatCode>
                <c:ptCount val="89"/>
                <c:pt idx="0">
                  <c:v>-0.72560000000000002</c:v>
                </c:pt>
                <c:pt idx="1">
                  <c:v>-0.70899999999999996</c:v>
                </c:pt>
                <c:pt idx="2">
                  <c:v>-0.69310000000000005</c:v>
                </c:pt>
                <c:pt idx="3">
                  <c:v>-0.67730000000000001</c:v>
                </c:pt>
                <c:pt idx="4">
                  <c:v>-0.66149999999999998</c:v>
                </c:pt>
                <c:pt idx="5">
                  <c:v>-0.64539999999999997</c:v>
                </c:pt>
                <c:pt idx="6">
                  <c:v>-0.62929999999999997</c:v>
                </c:pt>
                <c:pt idx="7">
                  <c:v>-0.61299999999999999</c:v>
                </c:pt>
                <c:pt idx="8">
                  <c:v>-0.59670000000000001</c:v>
                </c:pt>
                <c:pt idx="9">
                  <c:v>-0.58009999999999995</c:v>
                </c:pt>
                <c:pt idx="10">
                  <c:v>-0.56320000000000003</c:v>
                </c:pt>
                <c:pt idx="11">
                  <c:v>-0.54959999999999998</c:v>
                </c:pt>
                <c:pt idx="12">
                  <c:v>-0.53749999999999998</c:v>
                </c:pt>
                <c:pt idx="13">
                  <c:v>-0.52500000000000002</c:v>
                </c:pt>
                <c:pt idx="14">
                  <c:v>-0.51219999999999999</c:v>
                </c:pt>
                <c:pt idx="15">
                  <c:v>-0.49980000000000002</c:v>
                </c:pt>
                <c:pt idx="16">
                  <c:v>-0.4879</c:v>
                </c:pt>
                <c:pt idx="17">
                  <c:v>-0.47639999999999999</c:v>
                </c:pt>
                <c:pt idx="18">
                  <c:v>-0.4657</c:v>
                </c:pt>
                <c:pt idx="19">
                  <c:v>-0.45550000000000002</c:v>
                </c:pt>
                <c:pt idx="20">
                  <c:v>-0.4461</c:v>
                </c:pt>
                <c:pt idx="21">
                  <c:v>-0.43809999999999999</c:v>
                </c:pt>
                <c:pt idx="22">
                  <c:v>-0.44</c:v>
                </c:pt>
                <c:pt idx="23">
                  <c:v>-0.74560000000000004</c:v>
                </c:pt>
                <c:pt idx="24">
                  <c:v>-0.79759999999999998</c:v>
                </c:pt>
                <c:pt idx="25">
                  <c:v>-0.77210000000000001</c:v>
                </c:pt>
                <c:pt idx="26">
                  <c:v>-0.72640000000000005</c:v>
                </c:pt>
                <c:pt idx="27">
                  <c:v>-0.68769999999999998</c:v>
                </c:pt>
                <c:pt idx="28">
                  <c:v>-0.64859999999999995</c:v>
                </c:pt>
                <c:pt idx="29">
                  <c:v>-0.61219999999999997</c:v>
                </c:pt>
                <c:pt idx="30">
                  <c:v>-0.5484</c:v>
                </c:pt>
                <c:pt idx="31">
                  <c:v>-0.48159999999999997</c:v>
                </c:pt>
                <c:pt idx="32">
                  <c:v>-0.40629999999999999</c:v>
                </c:pt>
                <c:pt idx="33">
                  <c:v>-0.3301</c:v>
                </c:pt>
                <c:pt idx="34">
                  <c:v>-0.25030000000000002</c:v>
                </c:pt>
                <c:pt idx="35">
                  <c:v>-0.17480000000000001</c:v>
                </c:pt>
                <c:pt idx="36">
                  <c:v>-9.5000000000000001E-2</c:v>
                </c:pt>
                <c:pt idx="37">
                  <c:v>-2.5000000000000001E-2</c:v>
                </c:pt>
                <c:pt idx="38">
                  <c:v>5.4300000000000001E-2</c:v>
                </c:pt>
                <c:pt idx="39">
                  <c:v>0.12139999999999999</c:v>
                </c:pt>
                <c:pt idx="40">
                  <c:v>0.18990000000000001</c:v>
                </c:pt>
                <c:pt idx="41">
                  <c:v>0.25769999999999998</c:v>
                </c:pt>
                <c:pt idx="42">
                  <c:v>0.33169999999999999</c:v>
                </c:pt>
                <c:pt idx="43">
                  <c:v>0.38279999999999997</c:v>
                </c:pt>
                <c:pt idx="44">
                  <c:v>0.43919999999999998</c:v>
                </c:pt>
                <c:pt idx="45">
                  <c:v>0.49580000000000002</c:v>
                </c:pt>
                <c:pt idx="46">
                  <c:v>0.55259999999999998</c:v>
                </c:pt>
                <c:pt idx="47">
                  <c:v>0.60919999999999996</c:v>
                </c:pt>
                <c:pt idx="48">
                  <c:v>0.66579999999999995</c:v>
                </c:pt>
                <c:pt idx="49">
                  <c:v>0.77529999999999999</c:v>
                </c:pt>
                <c:pt idx="50">
                  <c:v>0.82830000000000004</c:v>
                </c:pt>
                <c:pt idx="51">
                  <c:v>0.87809999999999999</c:v>
                </c:pt>
                <c:pt idx="52">
                  <c:v>0.92559999999999998</c:v>
                </c:pt>
                <c:pt idx="53">
                  <c:v>0.96350000000000002</c:v>
                </c:pt>
                <c:pt idx="54">
                  <c:v>0.99460000000000004</c:v>
                </c:pt>
                <c:pt idx="55">
                  <c:v>1.0353000000000001</c:v>
                </c:pt>
                <c:pt idx="56">
                  <c:v>1.0764</c:v>
                </c:pt>
                <c:pt idx="57">
                  <c:v>1.1103000000000001</c:v>
                </c:pt>
                <c:pt idx="58">
                  <c:v>1.1516999999999999</c:v>
                </c:pt>
                <c:pt idx="59">
                  <c:v>1.1913</c:v>
                </c:pt>
                <c:pt idx="60">
                  <c:v>1.2229000000000001</c:v>
                </c:pt>
                <c:pt idx="61">
                  <c:v>1.2573000000000001</c:v>
                </c:pt>
                <c:pt idx="62">
                  <c:v>1.2778</c:v>
                </c:pt>
                <c:pt idx="63">
                  <c:v>1.2813000000000001</c:v>
                </c:pt>
                <c:pt idx="64">
                  <c:v>1.292</c:v>
                </c:pt>
                <c:pt idx="65">
                  <c:v>1.3016000000000001</c:v>
                </c:pt>
                <c:pt idx="66">
                  <c:v>1.3101</c:v>
                </c:pt>
                <c:pt idx="67">
                  <c:v>1.3165</c:v>
                </c:pt>
                <c:pt idx="68">
                  <c:v>1.3133999999999999</c:v>
                </c:pt>
                <c:pt idx="69">
                  <c:v>1.2949999999999999</c:v>
                </c:pt>
                <c:pt idx="70">
                  <c:v>1.2606999999999999</c:v>
                </c:pt>
                <c:pt idx="71">
                  <c:v>1.2105999999999999</c:v>
                </c:pt>
                <c:pt idx="72">
                  <c:v>1.1565000000000001</c:v>
                </c:pt>
                <c:pt idx="73">
                  <c:v>1.1301000000000001</c:v>
                </c:pt>
                <c:pt idx="74">
                  <c:v>1.0992</c:v>
                </c:pt>
                <c:pt idx="75">
                  <c:v>1.0525</c:v>
                </c:pt>
                <c:pt idx="76">
                  <c:v>0.91390000000000005</c:v>
                </c:pt>
                <c:pt idx="77">
                  <c:v>0.92230000000000001</c:v>
                </c:pt>
                <c:pt idx="78">
                  <c:v>0.93159999999999998</c:v>
                </c:pt>
                <c:pt idx="79">
                  <c:v>0.9415</c:v>
                </c:pt>
                <c:pt idx="80">
                  <c:v>0.95169999999999999</c:v>
                </c:pt>
                <c:pt idx="81">
                  <c:v>0.96220000000000006</c:v>
                </c:pt>
                <c:pt idx="82">
                  <c:v>0.97270000000000001</c:v>
                </c:pt>
                <c:pt idx="83">
                  <c:v>0.98329999999999995</c:v>
                </c:pt>
                <c:pt idx="84">
                  <c:v>0.99390000000000001</c:v>
                </c:pt>
                <c:pt idx="85">
                  <c:v>1.0044</c:v>
                </c:pt>
                <c:pt idx="86">
                  <c:v>1.0137</c:v>
                </c:pt>
                <c:pt idx="87">
                  <c:v>1.0225</c:v>
                </c:pt>
                <c:pt idx="88">
                  <c:v>1.0329999999999999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0-4E21-8895-DD611C6BDD0B}"/>
            </c:ext>
          </c:extLst>
        </c:ser>
        <c:ser>
          <c:idx val="1"/>
          <c:order val="1"/>
          <c:tx>
            <c:strRef>
              <c:f>qblade_podatki!$C$1</c:f>
              <c:strCache>
                <c:ptCount val="1"/>
                <c:pt idx="0">
                  <c:v>CD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qblade_podatki!$A$2:$A$90</c:f>
              <c:numCache>
                <c:formatCode>General</c:formatCode>
                <c:ptCount val="89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  <c:pt idx="84">
                  <c:v>21</c:v>
                </c:pt>
                <c:pt idx="85">
                  <c:v>21.5</c:v>
                </c:pt>
                <c:pt idx="86">
                  <c:v>22</c:v>
                </c:pt>
                <c:pt idx="87">
                  <c:v>22.5</c:v>
                </c:pt>
                <c:pt idx="88">
                  <c:v>23</c:v>
                </c:pt>
              </c:numCache>
            </c:numRef>
          </c:xVal>
          <c:yVal>
            <c:numRef>
              <c:f>qblade_podatki!$C$2:$C$90</c:f>
              <c:numCache>
                <c:formatCode>General</c:formatCode>
                <c:ptCount val="89"/>
                <c:pt idx="0">
                  <c:v>0.27666000000000002</c:v>
                </c:pt>
                <c:pt idx="1">
                  <c:v>0.26956000000000002</c:v>
                </c:pt>
                <c:pt idx="2">
                  <c:v>0.26319999999999999</c:v>
                </c:pt>
                <c:pt idx="3">
                  <c:v>0.25678000000000001</c:v>
                </c:pt>
                <c:pt idx="4">
                  <c:v>0.25042999999999999</c:v>
                </c:pt>
                <c:pt idx="5">
                  <c:v>0.24415000000000001</c:v>
                </c:pt>
                <c:pt idx="6">
                  <c:v>0.23798</c:v>
                </c:pt>
                <c:pt idx="7">
                  <c:v>0.2319</c:v>
                </c:pt>
                <c:pt idx="8">
                  <c:v>0.22592000000000001</c:v>
                </c:pt>
                <c:pt idx="9">
                  <c:v>0.22012000000000001</c:v>
                </c:pt>
                <c:pt idx="10">
                  <c:v>0.21539</c:v>
                </c:pt>
                <c:pt idx="11">
                  <c:v>0.21115999999999999</c:v>
                </c:pt>
                <c:pt idx="12">
                  <c:v>0.20594999999999999</c:v>
                </c:pt>
                <c:pt idx="13">
                  <c:v>0.19986000000000001</c:v>
                </c:pt>
                <c:pt idx="14">
                  <c:v>0.19320999999999999</c:v>
                </c:pt>
                <c:pt idx="15">
                  <c:v>0.18622</c:v>
                </c:pt>
                <c:pt idx="16">
                  <c:v>0.17896000000000001</c:v>
                </c:pt>
                <c:pt idx="17">
                  <c:v>0.17146</c:v>
                </c:pt>
                <c:pt idx="18">
                  <c:v>0.16378999999999999</c:v>
                </c:pt>
                <c:pt idx="19">
                  <c:v>0.15573999999999999</c:v>
                </c:pt>
                <c:pt idx="20">
                  <c:v>0.14752000000000001</c:v>
                </c:pt>
                <c:pt idx="21">
                  <c:v>0.13893</c:v>
                </c:pt>
                <c:pt idx="22">
                  <c:v>0.12623000000000001</c:v>
                </c:pt>
                <c:pt idx="23">
                  <c:v>4.7300000000000002E-2</c:v>
                </c:pt>
                <c:pt idx="24">
                  <c:v>3.1140000000000001E-2</c:v>
                </c:pt>
                <c:pt idx="25">
                  <c:v>2.6239999999999999E-2</c:v>
                </c:pt>
                <c:pt idx="26">
                  <c:v>2.7349999999999999E-2</c:v>
                </c:pt>
                <c:pt idx="27">
                  <c:v>2.6689999999999998E-2</c:v>
                </c:pt>
                <c:pt idx="28">
                  <c:v>2.768E-2</c:v>
                </c:pt>
                <c:pt idx="29">
                  <c:v>2.8299999999999999E-2</c:v>
                </c:pt>
                <c:pt idx="30">
                  <c:v>3.041E-2</c:v>
                </c:pt>
                <c:pt idx="31">
                  <c:v>2.477E-2</c:v>
                </c:pt>
                <c:pt idx="32">
                  <c:v>2.581E-2</c:v>
                </c:pt>
                <c:pt idx="33">
                  <c:v>2.4160000000000001E-2</c:v>
                </c:pt>
                <c:pt idx="34">
                  <c:v>2.044E-2</c:v>
                </c:pt>
                <c:pt idx="35">
                  <c:v>1.8180000000000002E-2</c:v>
                </c:pt>
                <c:pt idx="36">
                  <c:v>1.5650000000000001E-2</c:v>
                </c:pt>
                <c:pt idx="37">
                  <c:v>1.47E-2</c:v>
                </c:pt>
                <c:pt idx="38">
                  <c:v>1.362E-2</c:v>
                </c:pt>
                <c:pt idx="39">
                  <c:v>1.264E-2</c:v>
                </c:pt>
                <c:pt idx="40">
                  <c:v>1.17E-2</c:v>
                </c:pt>
                <c:pt idx="41">
                  <c:v>1.043E-2</c:v>
                </c:pt>
                <c:pt idx="42">
                  <c:v>9.3900000000000008E-3</c:v>
                </c:pt>
                <c:pt idx="43">
                  <c:v>8.5299999999999994E-3</c:v>
                </c:pt>
                <c:pt idx="44">
                  <c:v>8.6499999999999997E-3</c:v>
                </c:pt>
                <c:pt idx="45">
                  <c:v>8.8299999999999993E-3</c:v>
                </c:pt>
                <c:pt idx="46">
                  <c:v>9.0600000000000003E-3</c:v>
                </c:pt>
                <c:pt idx="47">
                  <c:v>9.4299999999999991E-3</c:v>
                </c:pt>
                <c:pt idx="48">
                  <c:v>9.7900000000000001E-3</c:v>
                </c:pt>
                <c:pt idx="49">
                  <c:v>1.0659999999999999E-2</c:v>
                </c:pt>
                <c:pt idx="50">
                  <c:v>1.1140000000000001E-2</c:v>
                </c:pt>
                <c:pt idx="51">
                  <c:v>1.174E-2</c:v>
                </c:pt>
                <c:pt idx="52">
                  <c:v>1.2540000000000001E-2</c:v>
                </c:pt>
                <c:pt idx="53">
                  <c:v>1.4E-2</c:v>
                </c:pt>
                <c:pt idx="54">
                  <c:v>1.6129999999999999E-2</c:v>
                </c:pt>
                <c:pt idx="55">
                  <c:v>1.7350000000000001E-2</c:v>
                </c:pt>
                <c:pt idx="56">
                  <c:v>1.8370000000000001E-2</c:v>
                </c:pt>
                <c:pt idx="57">
                  <c:v>1.9779999999999999E-2</c:v>
                </c:pt>
                <c:pt idx="58">
                  <c:v>2.0500000000000001E-2</c:v>
                </c:pt>
                <c:pt idx="59">
                  <c:v>2.128E-2</c:v>
                </c:pt>
                <c:pt idx="60">
                  <c:v>2.248E-2</c:v>
                </c:pt>
                <c:pt idx="61">
                  <c:v>2.3439999999999999E-2</c:v>
                </c:pt>
                <c:pt idx="62">
                  <c:v>2.5489999999999999E-2</c:v>
                </c:pt>
                <c:pt idx="63">
                  <c:v>2.8920000000000001E-2</c:v>
                </c:pt>
                <c:pt idx="64">
                  <c:v>3.2149999999999998E-2</c:v>
                </c:pt>
                <c:pt idx="65">
                  <c:v>3.5909999999999997E-2</c:v>
                </c:pt>
                <c:pt idx="66">
                  <c:v>4.0160000000000001E-2</c:v>
                </c:pt>
                <c:pt idx="67">
                  <c:v>4.5069999999999999E-2</c:v>
                </c:pt>
                <c:pt idx="68">
                  <c:v>5.1299999999999998E-2</c:v>
                </c:pt>
                <c:pt idx="69">
                  <c:v>5.917E-2</c:v>
                </c:pt>
                <c:pt idx="70">
                  <c:v>6.93E-2</c:v>
                </c:pt>
                <c:pt idx="71">
                  <c:v>8.2430000000000003E-2</c:v>
                </c:pt>
                <c:pt idx="72">
                  <c:v>9.7659999999999997E-2</c:v>
                </c:pt>
                <c:pt idx="73">
                  <c:v>0.11011</c:v>
                </c:pt>
                <c:pt idx="74">
                  <c:v>0.12520999999999999</c:v>
                </c:pt>
                <c:pt idx="75">
                  <c:v>0.14696999999999999</c:v>
                </c:pt>
                <c:pt idx="76">
                  <c:v>0.21054999999999999</c:v>
                </c:pt>
                <c:pt idx="77">
                  <c:v>0.22036</c:v>
                </c:pt>
                <c:pt idx="78">
                  <c:v>0.22996</c:v>
                </c:pt>
                <c:pt idx="79">
                  <c:v>0.23938999999999999</c:v>
                </c:pt>
                <c:pt idx="80">
                  <c:v>0.24868000000000001</c:v>
                </c:pt>
                <c:pt idx="81">
                  <c:v>0.25783</c:v>
                </c:pt>
                <c:pt idx="82">
                  <c:v>0.26684000000000002</c:v>
                </c:pt>
                <c:pt idx="83">
                  <c:v>0.27567999999999998</c:v>
                </c:pt>
                <c:pt idx="84">
                  <c:v>0.28433999999999998</c:v>
                </c:pt>
                <c:pt idx="85">
                  <c:v>0.29282000000000002</c:v>
                </c:pt>
                <c:pt idx="86">
                  <c:v>0.30075000000000002</c:v>
                </c:pt>
                <c:pt idx="87">
                  <c:v>0.30803000000000003</c:v>
                </c:pt>
                <c:pt idx="88">
                  <c:v>0.31536999999999998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80-4E21-8895-DD611C6BD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615247"/>
        <c:axId val="860299951"/>
      </c:scatterChart>
      <c:valAx>
        <c:axId val="86361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99951"/>
        <c:crosses val="autoZero"/>
        <c:crossBetween val="midCat"/>
      </c:valAx>
      <c:valAx>
        <c:axId val="86029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1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podatki!$B$1</c:f>
              <c:strCache>
                <c:ptCount val="1"/>
                <c:pt idx="0">
                  <c:v>cL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podatki!$A$2:$A$146</c:f>
              <c:numCache>
                <c:formatCode>General</c:formatCode>
                <c:ptCount val="145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  <c:pt idx="84">
                  <c:v>21</c:v>
                </c:pt>
                <c:pt idx="85">
                  <c:v>21.5</c:v>
                </c:pt>
                <c:pt idx="86">
                  <c:v>22</c:v>
                </c:pt>
                <c:pt idx="87">
                  <c:v>22.5</c:v>
                </c:pt>
                <c:pt idx="88">
                  <c:v>23</c:v>
                </c:pt>
              </c:numCache>
            </c:numRef>
          </c:xVal>
          <c:yVal>
            <c:numRef>
              <c:f>podatki!$B$2:$B$146</c:f>
              <c:numCache>
                <c:formatCode>General</c:formatCode>
                <c:ptCount val="145"/>
                <c:pt idx="0">
                  <c:v>-0.72560000000000002</c:v>
                </c:pt>
                <c:pt idx="1">
                  <c:v>-0.70899999999999996</c:v>
                </c:pt>
                <c:pt idx="2">
                  <c:v>-0.69310000000000005</c:v>
                </c:pt>
                <c:pt idx="3">
                  <c:v>-0.67730000000000001</c:v>
                </c:pt>
                <c:pt idx="4">
                  <c:v>-0.66149999999999998</c:v>
                </c:pt>
                <c:pt idx="5">
                  <c:v>-0.64539999999999997</c:v>
                </c:pt>
                <c:pt idx="6">
                  <c:v>-0.62929999999999997</c:v>
                </c:pt>
                <c:pt idx="7">
                  <c:v>-0.61299999999999999</c:v>
                </c:pt>
                <c:pt idx="8">
                  <c:v>-0.59670000000000001</c:v>
                </c:pt>
                <c:pt idx="9">
                  <c:v>-0.58009999999999995</c:v>
                </c:pt>
                <c:pt idx="10">
                  <c:v>-0.56320000000000003</c:v>
                </c:pt>
                <c:pt idx="11">
                  <c:v>-0.54959999999999998</c:v>
                </c:pt>
                <c:pt idx="12">
                  <c:v>-0.53749999999999998</c:v>
                </c:pt>
                <c:pt idx="13">
                  <c:v>-0.52500000000000002</c:v>
                </c:pt>
                <c:pt idx="14">
                  <c:v>-0.51219999999999999</c:v>
                </c:pt>
                <c:pt idx="15">
                  <c:v>-0.49980000000000002</c:v>
                </c:pt>
                <c:pt idx="16">
                  <c:v>-0.4879</c:v>
                </c:pt>
                <c:pt idx="17">
                  <c:v>-0.47639999999999999</c:v>
                </c:pt>
                <c:pt idx="18">
                  <c:v>-0.4657</c:v>
                </c:pt>
                <c:pt idx="19">
                  <c:v>-0.45550000000000002</c:v>
                </c:pt>
                <c:pt idx="20">
                  <c:v>-0.4461</c:v>
                </c:pt>
                <c:pt idx="21">
                  <c:v>-0.43809999999999999</c:v>
                </c:pt>
                <c:pt idx="22">
                  <c:v>-0.44</c:v>
                </c:pt>
                <c:pt idx="23">
                  <c:v>-0.74560000000000004</c:v>
                </c:pt>
                <c:pt idx="24">
                  <c:v>-0.79759999999999998</c:v>
                </c:pt>
                <c:pt idx="25">
                  <c:v>-0.77210000000000001</c:v>
                </c:pt>
                <c:pt idx="26">
                  <c:v>-0.72640000000000005</c:v>
                </c:pt>
                <c:pt idx="27">
                  <c:v>-0.68769999999999998</c:v>
                </c:pt>
                <c:pt idx="28">
                  <c:v>-0.64859999999999995</c:v>
                </c:pt>
                <c:pt idx="29">
                  <c:v>-0.61219999999999997</c:v>
                </c:pt>
                <c:pt idx="30">
                  <c:v>-0.5484</c:v>
                </c:pt>
                <c:pt idx="31">
                  <c:v>-0.48159999999999997</c:v>
                </c:pt>
                <c:pt idx="32">
                  <c:v>-0.40629999999999999</c:v>
                </c:pt>
                <c:pt idx="33">
                  <c:v>-0.3301</c:v>
                </c:pt>
                <c:pt idx="34">
                  <c:v>-0.25030000000000002</c:v>
                </c:pt>
                <c:pt idx="35">
                  <c:v>-0.17480000000000001</c:v>
                </c:pt>
                <c:pt idx="36">
                  <c:v>-9.5000000000000001E-2</c:v>
                </c:pt>
                <c:pt idx="37">
                  <c:v>-2.5000000000000001E-2</c:v>
                </c:pt>
                <c:pt idx="38">
                  <c:v>5.4300000000000001E-2</c:v>
                </c:pt>
                <c:pt idx="39">
                  <c:v>0.12139999999999999</c:v>
                </c:pt>
                <c:pt idx="40">
                  <c:v>0.18990000000000001</c:v>
                </c:pt>
                <c:pt idx="41">
                  <c:v>0.25769999999999998</c:v>
                </c:pt>
                <c:pt idx="42">
                  <c:v>0.33169999999999999</c:v>
                </c:pt>
                <c:pt idx="43">
                  <c:v>0.38279999999999997</c:v>
                </c:pt>
                <c:pt idx="44">
                  <c:v>0.43919999999999998</c:v>
                </c:pt>
                <c:pt idx="45">
                  <c:v>0.49580000000000002</c:v>
                </c:pt>
                <c:pt idx="46">
                  <c:v>0.55259999999999998</c:v>
                </c:pt>
                <c:pt idx="47">
                  <c:v>0.60919999999999996</c:v>
                </c:pt>
                <c:pt idx="48">
                  <c:v>0.66579999999999995</c:v>
                </c:pt>
                <c:pt idx="49">
                  <c:v>0.77529999999999999</c:v>
                </c:pt>
                <c:pt idx="50">
                  <c:v>0.82830000000000004</c:v>
                </c:pt>
                <c:pt idx="51">
                  <c:v>0.87809999999999999</c:v>
                </c:pt>
                <c:pt idx="52">
                  <c:v>0.92559999999999998</c:v>
                </c:pt>
                <c:pt idx="53">
                  <c:v>0.96350000000000002</c:v>
                </c:pt>
                <c:pt idx="54">
                  <c:v>0.99460000000000004</c:v>
                </c:pt>
                <c:pt idx="55">
                  <c:v>1.0353000000000001</c:v>
                </c:pt>
                <c:pt idx="56">
                  <c:v>1.0764</c:v>
                </c:pt>
                <c:pt idx="57">
                  <c:v>1.1103000000000001</c:v>
                </c:pt>
                <c:pt idx="58">
                  <c:v>1.1516999999999999</c:v>
                </c:pt>
                <c:pt idx="59">
                  <c:v>1.1913</c:v>
                </c:pt>
                <c:pt idx="60">
                  <c:v>1.2229000000000001</c:v>
                </c:pt>
                <c:pt idx="61">
                  <c:v>1.2573000000000001</c:v>
                </c:pt>
                <c:pt idx="62">
                  <c:v>1.2778</c:v>
                </c:pt>
                <c:pt idx="63">
                  <c:v>1.2813000000000001</c:v>
                </c:pt>
                <c:pt idx="64">
                  <c:v>1.292</c:v>
                </c:pt>
                <c:pt idx="65">
                  <c:v>1.3016000000000001</c:v>
                </c:pt>
                <c:pt idx="66">
                  <c:v>1.3101</c:v>
                </c:pt>
                <c:pt idx="67">
                  <c:v>1.3165</c:v>
                </c:pt>
                <c:pt idx="68">
                  <c:v>1.3133999999999999</c:v>
                </c:pt>
                <c:pt idx="69">
                  <c:v>1.2949999999999999</c:v>
                </c:pt>
                <c:pt idx="70">
                  <c:v>1.2606999999999999</c:v>
                </c:pt>
                <c:pt idx="71">
                  <c:v>1.2105999999999999</c:v>
                </c:pt>
                <c:pt idx="72">
                  <c:v>1.1565000000000001</c:v>
                </c:pt>
                <c:pt idx="73">
                  <c:v>1.1301000000000001</c:v>
                </c:pt>
                <c:pt idx="74">
                  <c:v>1.0992</c:v>
                </c:pt>
                <c:pt idx="75">
                  <c:v>1.0525</c:v>
                </c:pt>
                <c:pt idx="76">
                  <c:v>0.91390000000000005</c:v>
                </c:pt>
                <c:pt idx="77">
                  <c:v>0.92230000000000001</c:v>
                </c:pt>
                <c:pt idx="78">
                  <c:v>0.93159999999999998</c:v>
                </c:pt>
                <c:pt idx="79">
                  <c:v>0.9415</c:v>
                </c:pt>
                <c:pt idx="80">
                  <c:v>0.95169999999999999</c:v>
                </c:pt>
                <c:pt idx="81">
                  <c:v>0.96220000000000006</c:v>
                </c:pt>
                <c:pt idx="82">
                  <c:v>0.97270000000000001</c:v>
                </c:pt>
                <c:pt idx="83">
                  <c:v>0.98329999999999995</c:v>
                </c:pt>
                <c:pt idx="84">
                  <c:v>0.99390000000000001</c:v>
                </c:pt>
                <c:pt idx="85">
                  <c:v>1.0044</c:v>
                </c:pt>
                <c:pt idx="86">
                  <c:v>1.0137</c:v>
                </c:pt>
                <c:pt idx="87">
                  <c:v>1.0225</c:v>
                </c:pt>
                <c:pt idx="88">
                  <c:v>1.0329999999999999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F-499C-9DF3-AE72CBB92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06431"/>
        <c:axId val="767990735"/>
      </c:scatterChart>
      <c:valAx>
        <c:axId val="75880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0735"/>
        <c:crosses val="autoZero"/>
        <c:crossBetween val="midCat"/>
      </c:valAx>
      <c:valAx>
        <c:axId val="7679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06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podatki!$E$1</c:f>
              <c:strCache>
                <c:ptCount val="1"/>
                <c:pt idx="0">
                  <c:v>cD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podatki!$D$2:$D$85</c:f>
              <c:numCache>
                <c:formatCode>General</c:formatCode>
                <c:ptCount val="84"/>
                <c:pt idx="0">
                  <c:v>-22.5</c:v>
                </c:pt>
                <c:pt idx="1">
                  <c:v>-22</c:v>
                </c:pt>
                <c:pt idx="2">
                  <c:v>-21.5</c:v>
                </c:pt>
                <c:pt idx="3">
                  <c:v>-21</c:v>
                </c:pt>
                <c:pt idx="4">
                  <c:v>-20.5</c:v>
                </c:pt>
                <c:pt idx="5">
                  <c:v>-20</c:v>
                </c:pt>
                <c:pt idx="6">
                  <c:v>-19.5</c:v>
                </c:pt>
                <c:pt idx="7">
                  <c:v>-19</c:v>
                </c:pt>
                <c:pt idx="8">
                  <c:v>-18.5</c:v>
                </c:pt>
                <c:pt idx="9">
                  <c:v>-18</c:v>
                </c:pt>
                <c:pt idx="10">
                  <c:v>-17.5</c:v>
                </c:pt>
                <c:pt idx="11">
                  <c:v>-17</c:v>
                </c:pt>
                <c:pt idx="12">
                  <c:v>-16.5</c:v>
                </c:pt>
                <c:pt idx="13">
                  <c:v>-16</c:v>
                </c:pt>
                <c:pt idx="14">
                  <c:v>-15.5</c:v>
                </c:pt>
                <c:pt idx="15">
                  <c:v>-15</c:v>
                </c:pt>
                <c:pt idx="16">
                  <c:v>-14.5</c:v>
                </c:pt>
                <c:pt idx="17">
                  <c:v>-14</c:v>
                </c:pt>
                <c:pt idx="18">
                  <c:v>-13.5</c:v>
                </c:pt>
                <c:pt idx="19">
                  <c:v>-13</c:v>
                </c:pt>
                <c:pt idx="20">
                  <c:v>-12.5</c:v>
                </c:pt>
                <c:pt idx="21">
                  <c:v>-12</c:v>
                </c:pt>
                <c:pt idx="22">
                  <c:v>-11.5</c:v>
                </c:pt>
                <c:pt idx="23">
                  <c:v>-10.5</c:v>
                </c:pt>
                <c:pt idx="24">
                  <c:v>-10</c:v>
                </c:pt>
                <c:pt idx="25">
                  <c:v>-9.5</c:v>
                </c:pt>
                <c:pt idx="26">
                  <c:v>-9</c:v>
                </c:pt>
                <c:pt idx="27">
                  <c:v>-8.5</c:v>
                </c:pt>
                <c:pt idx="28">
                  <c:v>-8</c:v>
                </c:pt>
                <c:pt idx="29">
                  <c:v>-7.5</c:v>
                </c:pt>
                <c:pt idx="30">
                  <c:v>-7</c:v>
                </c:pt>
                <c:pt idx="31">
                  <c:v>-6.5</c:v>
                </c:pt>
                <c:pt idx="32">
                  <c:v>-6</c:v>
                </c:pt>
                <c:pt idx="33">
                  <c:v>-5.5</c:v>
                </c:pt>
                <c:pt idx="34">
                  <c:v>-5</c:v>
                </c:pt>
                <c:pt idx="35">
                  <c:v>-4.5</c:v>
                </c:pt>
                <c:pt idx="36">
                  <c:v>-4</c:v>
                </c:pt>
                <c:pt idx="37">
                  <c:v>-3.5</c:v>
                </c:pt>
                <c:pt idx="38">
                  <c:v>-3</c:v>
                </c:pt>
                <c:pt idx="39">
                  <c:v>-2.5</c:v>
                </c:pt>
                <c:pt idx="40">
                  <c:v>-2</c:v>
                </c:pt>
                <c:pt idx="41">
                  <c:v>-1.5</c:v>
                </c:pt>
                <c:pt idx="42">
                  <c:v>-1</c:v>
                </c:pt>
                <c:pt idx="43">
                  <c:v>0</c:v>
                </c:pt>
                <c:pt idx="44">
                  <c:v>0.5</c:v>
                </c:pt>
                <c:pt idx="45">
                  <c:v>1</c:v>
                </c:pt>
                <c:pt idx="46">
                  <c:v>1.5</c:v>
                </c:pt>
                <c:pt idx="47">
                  <c:v>2</c:v>
                </c:pt>
                <c:pt idx="48">
                  <c:v>2.5</c:v>
                </c:pt>
                <c:pt idx="49">
                  <c:v>3.5</c:v>
                </c:pt>
                <c:pt idx="50">
                  <c:v>4</c:v>
                </c:pt>
                <c:pt idx="51">
                  <c:v>4.5</c:v>
                </c:pt>
                <c:pt idx="52">
                  <c:v>5</c:v>
                </c:pt>
                <c:pt idx="53">
                  <c:v>5.5</c:v>
                </c:pt>
                <c:pt idx="54">
                  <c:v>6</c:v>
                </c:pt>
                <c:pt idx="55">
                  <c:v>6.5</c:v>
                </c:pt>
                <c:pt idx="56">
                  <c:v>7</c:v>
                </c:pt>
                <c:pt idx="57">
                  <c:v>7.5</c:v>
                </c:pt>
                <c:pt idx="58">
                  <c:v>8</c:v>
                </c:pt>
                <c:pt idx="59">
                  <c:v>8.5</c:v>
                </c:pt>
                <c:pt idx="60">
                  <c:v>9</c:v>
                </c:pt>
                <c:pt idx="61">
                  <c:v>9.5</c:v>
                </c:pt>
                <c:pt idx="62">
                  <c:v>10</c:v>
                </c:pt>
                <c:pt idx="63">
                  <c:v>10.5</c:v>
                </c:pt>
                <c:pt idx="64">
                  <c:v>11</c:v>
                </c:pt>
                <c:pt idx="65">
                  <c:v>11.5</c:v>
                </c:pt>
                <c:pt idx="66">
                  <c:v>12</c:v>
                </c:pt>
                <c:pt idx="67">
                  <c:v>12.5</c:v>
                </c:pt>
                <c:pt idx="68">
                  <c:v>13</c:v>
                </c:pt>
                <c:pt idx="69">
                  <c:v>13.5</c:v>
                </c:pt>
                <c:pt idx="70">
                  <c:v>14</c:v>
                </c:pt>
                <c:pt idx="71">
                  <c:v>14.5</c:v>
                </c:pt>
                <c:pt idx="72">
                  <c:v>15</c:v>
                </c:pt>
                <c:pt idx="73">
                  <c:v>15.5</c:v>
                </c:pt>
                <c:pt idx="74">
                  <c:v>16</c:v>
                </c:pt>
                <c:pt idx="75">
                  <c:v>16.5</c:v>
                </c:pt>
                <c:pt idx="76">
                  <c:v>17</c:v>
                </c:pt>
                <c:pt idx="77">
                  <c:v>17.5</c:v>
                </c:pt>
                <c:pt idx="78">
                  <c:v>18</c:v>
                </c:pt>
                <c:pt idx="79">
                  <c:v>18.5</c:v>
                </c:pt>
                <c:pt idx="80">
                  <c:v>19</c:v>
                </c:pt>
                <c:pt idx="81">
                  <c:v>19.5</c:v>
                </c:pt>
                <c:pt idx="82">
                  <c:v>20</c:v>
                </c:pt>
                <c:pt idx="83">
                  <c:v>20.5</c:v>
                </c:pt>
              </c:numCache>
            </c:numRef>
          </c:xVal>
          <c:yVal>
            <c:numRef>
              <c:f>podatki!$E$2:$E$85</c:f>
              <c:numCache>
                <c:formatCode>General</c:formatCode>
                <c:ptCount val="84"/>
                <c:pt idx="0">
                  <c:v>0.27666000000000002</c:v>
                </c:pt>
                <c:pt idx="1">
                  <c:v>0.26956000000000002</c:v>
                </c:pt>
                <c:pt idx="2">
                  <c:v>0.26319999999999999</c:v>
                </c:pt>
                <c:pt idx="3">
                  <c:v>0.25678000000000001</c:v>
                </c:pt>
                <c:pt idx="4">
                  <c:v>0.25042999999999999</c:v>
                </c:pt>
                <c:pt idx="5">
                  <c:v>0.24415000000000001</c:v>
                </c:pt>
                <c:pt idx="6">
                  <c:v>0.23798</c:v>
                </c:pt>
                <c:pt idx="7">
                  <c:v>0.2319</c:v>
                </c:pt>
                <c:pt idx="8">
                  <c:v>0.22592000000000001</c:v>
                </c:pt>
                <c:pt idx="9">
                  <c:v>0.22012000000000001</c:v>
                </c:pt>
                <c:pt idx="10">
                  <c:v>0.21539</c:v>
                </c:pt>
                <c:pt idx="11">
                  <c:v>0.21115999999999999</c:v>
                </c:pt>
                <c:pt idx="12">
                  <c:v>0.20594999999999999</c:v>
                </c:pt>
                <c:pt idx="13">
                  <c:v>0.19986000000000001</c:v>
                </c:pt>
                <c:pt idx="14">
                  <c:v>0.19320999999999999</c:v>
                </c:pt>
                <c:pt idx="15">
                  <c:v>0.18622</c:v>
                </c:pt>
                <c:pt idx="16">
                  <c:v>0.17896000000000001</c:v>
                </c:pt>
                <c:pt idx="17">
                  <c:v>0.17146</c:v>
                </c:pt>
                <c:pt idx="18">
                  <c:v>0.16378999999999999</c:v>
                </c:pt>
                <c:pt idx="19">
                  <c:v>0.15573999999999999</c:v>
                </c:pt>
                <c:pt idx="20">
                  <c:v>0.14752000000000001</c:v>
                </c:pt>
                <c:pt idx="21">
                  <c:v>0.13893</c:v>
                </c:pt>
                <c:pt idx="22">
                  <c:v>0.12623000000000001</c:v>
                </c:pt>
                <c:pt idx="23">
                  <c:v>4.7300000000000002E-2</c:v>
                </c:pt>
                <c:pt idx="24">
                  <c:v>3.1140000000000001E-2</c:v>
                </c:pt>
                <c:pt idx="25">
                  <c:v>2.6239999999999999E-2</c:v>
                </c:pt>
                <c:pt idx="26">
                  <c:v>2.7349999999999999E-2</c:v>
                </c:pt>
                <c:pt idx="27">
                  <c:v>2.6689999999999998E-2</c:v>
                </c:pt>
                <c:pt idx="28">
                  <c:v>2.768E-2</c:v>
                </c:pt>
                <c:pt idx="29">
                  <c:v>2.8299999999999999E-2</c:v>
                </c:pt>
                <c:pt idx="30">
                  <c:v>3.041E-2</c:v>
                </c:pt>
                <c:pt idx="31">
                  <c:v>2.477E-2</c:v>
                </c:pt>
                <c:pt idx="32">
                  <c:v>2.581E-2</c:v>
                </c:pt>
                <c:pt idx="33">
                  <c:v>2.4160000000000001E-2</c:v>
                </c:pt>
                <c:pt idx="34">
                  <c:v>2.044E-2</c:v>
                </c:pt>
                <c:pt idx="35">
                  <c:v>1.8180000000000002E-2</c:v>
                </c:pt>
                <c:pt idx="36">
                  <c:v>1.5650000000000001E-2</c:v>
                </c:pt>
                <c:pt idx="37">
                  <c:v>1.47E-2</c:v>
                </c:pt>
                <c:pt idx="38">
                  <c:v>1.362E-2</c:v>
                </c:pt>
                <c:pt idx="39">
                  <c:v>1.264E-2</c:v>
                </c:pt>
                <c:pt idx="40">
                  <c:v>1.17E-2</c:v>
                </c:pt>
                <c:pt idx="41">
                  <c:v>1.043E-2</c:v>
                </c:pt>
                <c:pt idx="42">
                  <c:v>9.3900000000000008E-3</c:v>
                </c:pt>
                <c:pt idx="43">
                  <c:v>8.5299999999999994E-3</c:v>
                </c:pt>
                <c:pt idx="44">
                  <c:v>8.6499999999999997E-3</c:v>
                </c:pt>
                <c:pt idx="45">
                  <c:v>8.8299999999999993E-3</c:v>
                </c:pt>
                <c:pt idx="46">
                  <c:v>9.0600000000000003E-3</c:v>
                </c:pt>
                <c:pt idx="47">
                  <c:v>9.4299999999999991E-3</c:v>
                </c:pt>
                <c:pt idx="48">
                  <c:v>9.7900000000000001E-3</c:v>
                </c:pt>
                <c:pt idx="49">
                  <c:v>1.0659999999999999E-2</c:v>
                </c:pt>
                <c:pt idx="50">
                  <c:v>1.1140000000000001E-2</c:v>
                </c:pt>
                <c:pt idx="51">
                  <c:v>1.174E-2</c:v>
                </c:pt>
                <c:pt idx="52">
                  <c:v>1.2540000000000001E-2</c:v>
                </c:pt>
                <c:pt idx="53">
                  <c:v>1.4E-2</c:v>
                </c:pt>
                <c:pt idx="54">
                  <c:v>1.6129999999999999E-2</c:v>
                </c:pt>
                <c:pt idx="55">
                  <c:v>1.7350000000000001E-2</c:v>
                </c:pt>
                <c:pt idx="56">
                  <c:v>1.8370000000000001E-2</c:v>
                </c:pt>
                <c:pt idx="57">
                  <c:v>1.9779999999999999E-2</c:v>
                </c:pt>
                <c:pt idx="58">
                  <c:v>2.0500000000000001E-2</c:v>
                </c:pt>
                <c:pt idx="59">
                  <c:v>2.128E-2</c:v>
                </c:pt>
                <c:pt idx="60">
                  <c:v>2.248E-2</c:v>
                </c:pt>
                <c:pt idx="61">
                  <c:v>2.3439999999999999E-2</c:v>
                </c:pt>
                <c:pt idx="62">
                  <c:v>2.5489999999999999E-2</c:v>
                </c:pt>
                <c:pt idx="63">
                  <c:v>2.8920000000000001E-2</c:v>
                </c:pt>
                <c:pt idx="64">
                  <c:v>3.2149999999999998E-2</c:v>
                </c:pt>
                <c:pt idx="65">
                  <c:v>3.5909999999999997E-2</c:v>
                </c:pt>
                <c:pt idx="66">
                  <c:v>4.0160000000000001E-2</c:v>
                </c:pt>
                <c:pt idx="67">
                  <c:v>4.5069999999999999E-2</c:v>
                </c:pt>
                <c:pt idx="68">
                  <c:v>5.1299999999999998E-2</c:v>
                </c:pt>
                <c:pt idx="69">
                  <c:v>5.917E-2</c:v>
                </c:pt>
                <c:pt idx="70">
                  <c:v>6.93E-2</c:v>
                </c:pt>
                <c:pt idx="71">
                  <c:v>8.2430000000000003E-2</c:v>
                </c:pt>
                <c:pt idx="72">
                  <c:v>9.7659999999999997E-2</c:v>
                </c:pt>
                <c:pt idx="73">
                  <c:v>0.11011</c:v>
                </c:pt>
                <c:pt idx="74">
                  <c:v>0.12520999999999999</c:v>
                </c:pt>
                <c:pt idx="75">
                  <c:v>0.14696999999999999</c:v>
                </c:pt>
                <c:pt idx="76">
                  <c:v>0.21054999999999999</c:v>
                </c:pt>
                <c:pt idx="77">
                  <c:v>0.22036</c:v>
                </c:pt>
                <c:pt idx="78">
                  <c:v>0.22996</c:v>
                </c:pt>
                <c:pt idx="79">
                  <c:v>0.23938999999999999</c:v>
                </c:pt>
                <c:pt idx="80">
                  <c:v>0.24868000000000001</c:v>
                </c:pt>
                <c:pt idx="81">
                  <c:v>0.25783</c:v>
                </c:pt>
                <c:pt idx="82">
                  <c:v>0.26684000000000002</c:v>
                </c:pt>
                <c:pt idx="83">
                  <c:v>0.27567999999999998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BB-4213-8409-F4449F19F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608447"/>
        <c:axId val="860295375"/>
      </c:scatterChart>
      <c:valAx>
        <c:axId val="863608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95375"/>
        <c:crosses val="autoZero"/>
        <c:crossBetween val="midCat"/>
      </c:valAx>
      <c:valAx>
        <c:axId val="86029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08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802822</xdr:colOff>
      <xdr:row>32</xdr:row>
      <xdr:rowOff>43615</xdr:rowOff>
    </xdr:from>
    <xdr:to>
      <xdr:col>12</xdr:col>
      <xdr:colOff>666750</xdr:colOff>
      <xdr:row>63</xdr:row>
      <xdr:rowOff>43163</xdr:rowOff>
    </xdr:to>
    <xdr:pic>
      <xdr:nvPicPr>
        <xdr:cNvPr id="2" name="Picture 1" descr="https://dl2.pushbulletusercontent.com/xoVB3DGJcuQ0ExbhKoEXM3w3X7sBZ9zj/New%20Doc%202018-08-15_1.jpg">
          <a:extLst>
            <a:ext uri="{FF2B5EF4-FFF2-40B4-BE49-F238E27FC236}">
              <a16:creationId xmlns:a16="http://schemas.microsoft.com/office/drawing/2014/main" id="{E9F31EE7-D5B8-4C4D-8AC6-8CB47D727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1465" y="6772347"/>
          <a:ext cx="9123589" cy="5694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3</xdr:row>
      <xdr:rowOff>180975</xdr:rowOff>
    </xdr:from>
    <xdr:to>
      <xdr:col>12</xdr:col>
      <xdr:colOff>480060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6E9964-17F9-439B-94A4-DEE4544F6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419100</xdr:colOff>
      <xdr:row>18</xdr:row>
      <xdr:rowOff>173355</xdr:rowOff>
    </xdr:from>
    <xdr:to>
      <xdr:col>12</xdr:col>
      <xdr:colOff>510540</xdr:colOff>
      <xdr:row>33</xdr:row>
      <xdr:rowOff>173355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754A2E-4ADE-4B18-B539-03EEF1E78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5</xdr:row>
      <xdr:rowOff>68580</xdr:rowOff>
    </xdr:from>
    <xdr:to>
      <xdr:col>15</xdr:col>
      <xdr:colOff>430530</xdr:colOff>
      <xdr:row>32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E67A27-A8DF-4F6B-A33C-127A5B0B0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3</xdr:row>
      <xdr:rowOff>180975</xdr:rowOff>
    </xdr:from>
    <xdr:to>
      <xdr:col>12</xdr:col>
      <xdr:colOff>480060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3844FB-0DD5-45AE-BCDD-1135B62EB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419100</xdr:colOff>
      <xdr:row>18</xdr:row>
      <xdr:rowOff>173355</xdr:rowOff>
    </xdr:from>
    <xdr:to>
      <xdr:col>12</xdr:col>
      <xdr:colOff>510540</xdr:colOff>
      <xdr:row>33</xdr:row>
      <xdr:rowOff>173355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D4C9D-BA68-4154-85BE-6C654329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isarn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911C-0BCC-4D57-AF54-6F1B7E2E6417}">
  <sheetPr codeName="Sheet2"/>
  <dimension ref="A1:Q44"/>
  <sheetViews>
    <sheetView topLeftCell="A4" zoomScale="56" workbookViewId="0">
      <selection activeCell="B36" sqref="B36"/>
    </sheetView>
  </sheetViews>
  <sheetFormatPr defaultRowHeight="14.4" x14ac:dyDescent="0.55000000000000004"/>
  <cols>
    <col min="1" max="1" width="16.1015625" customWidth="1"/>
    <col min="2" max="2" width="13.1015625" customWidth="1"/>
    <col min="4" max="4" width="12.26171875" customWidth="1"/>
    <col min="5" max="6" width="9.15625" customWidth="1"/>
    <col min="7" max="7" width="20.20703125" customWidth="1"/>
    <col min="8" max="8" width="25.15625" customWidth="1"/>
    <col min="9" max="9" width="9.15625" customWidth="1"/>
    <col min="10" max="11" width="13" customWidth="1"/>
    <col min="12" max="12" width="17.05078125" customWidth="1"/>
    <col min="13" max="13" width="13" customWidth="1"/>
    <col min="14" max="14" width="9.15625" customWidth="1"/>
    <col min="15" max="15" width="11.20703125" customWidth="1"/>
    <col min="16" max="27" width="9.15625" customWidth="1"/>
  </cols>
  <sheetData>
    <row r="1" spans="1:17" ht="20.399999999999999" x14ac:dyDescent="0.75">
      <c r="A1" s="36" t="s">
        <v>17</v>
      </c>
      <c r="B1" s="36"/>
      <c r="C1" s="36"/>
      <c r="D1" s="37" t="s">
        <v>18</v>
      </c>
      <c r="E1" s="37"/>
      <c r="F1" s="37"/>
      <c r="G1" s="21" t="s">
        <v>20</v>
      </c>
      <c r="H1" s="26"/>
      <c r="I1" s="39" t="s">
        <v>21</v>
      </c>
      <c r="J1" s="39"/>
      <c r="K1" s="39"/>
      <c r="L1" s="39"/>
      <c r="M1" s="39"/>
      <c r="N1" s="38" t="s">
        <v>22</v>
      </c>
      <c r="O1" s="38"/>
      <c r="P1" s="38"/>
      <c r="Q1" s="38"/>
    </row>
    <row r="2" spans="1:17" s="4" customFormat="1" ht="59.7" customHeight="1" x14ac:dyDescent="0.55000000000000004">
      <c r="A2" s="7" t="s">
        <v>23</v>
      </c>
      <c r="B2" s="7" t="s">
        <v>24</v>
      </c>
      <c r="C2" s="7" t="s">
        <v>27</v>
      </c>
      <c r="D2" s="9" t="s">
        <v>29</v>
      </c>
      <c r="E2" s="9" t="s">
        <v>31</v>
      </c>
      <c r="F2" s="9" t="s">
        <v>32</v>
      </c>
      <c r="G2" s="22" t="s">
        <v>33</v>
      </c>
      <c r="H2" s="27" t="s">
        <v>34</v>
      </c>
      <c r="I2" s="11" t="s">
        <v>35</v>
      </c>
      <c r="J2" s="11" t="s">
        <v>36</v>
      </c>
      <c r="K2" s="11" t="s">
        <v>52</v>
      </c>
      <c r="L2" s="11" t="s">
        <v>37</v>
      </c>
      <c r="M2" s="11" t="s">
        <v>38</v>
      </c>
      <c r="N2" s="14" t="s">
        <v>39</v>
      </c>
      <c r="O2" s="14" t="s">
        <v>40</v>
      </c>
      <c r="P2" s="14" t="s">
        <v>41</v>
      </c>
      <c r="Q2" s="14" t="s">
        <v>42</v>
      </c>
    </row>
    <row r="3" spans="1:17" s="4" customFormat="1" ht="30.6" customHeight="1" x14ac:dyDescent="0.7">
      <c r="A3" s="17" t="s">
        <v>26</v>
      </c>
      <c r="B3" s="17" t="s">
        <v>25</v>
      </c>
      <c r="C3" s="17" t="s">
        <v>28</v>
      </c>
      <c r="D3" s="18" t="s">
        <v>30</v>
      </c>
      <c r="E3" s="18" t="s">
        <v>19</v>
      </c>
      <c r="F3" s="18" t="s">
        <v>49</v>
      </c>
      <c r="G3" s="23" t="s">
        <v>51</v>
      </c>
      <c r="H3" s="28" t="s">
        <v>50</v>
      </c>
      <c r="I3" s="19" t="s">
        <v>12</v>
      </c>
      <c r="J3" s="19" t="s">
        <v>13</v>
      </c>
      <c r="K3" s="19" t="s">
        <v>53</v>
      </c>
      <c r="L3" s="19" t="s">
        <v>43</v>
      </c>
      <c r="M3" s="19" t="s">
        <v>44</v>
      </c>
      <c r="N3" s="20" t="s">
        <v>45</v>
      </c>
      <c r="O3" s="20" t="s">
        <v>46</v>
      </c>
      <c r="P3" s="20" t="s">
        <v>47</v>
      </c>
      <c r="Q3" s="20" t="s">
        <v>48</v>
      </c>
    </row>
    <row r="4" spans="1:17" x14ac:dyDescent="0.55000000000000004">
      <c r="A4" s="8">
        <v>0</v>
      </c>
      <c r="B4" s="8"/>
      <c r="C4" s="8"/>
      <c r="D4" s="10"/>
      <c r="E4" s="10"/>
      <c r="F4" s="10"/>
      <c r="G4" s="24"/>
      <c r="H4" s="29"/>
      <c r="I4" s="12"/>
      <c r="J4" s="12"/>
      <c r="K4" s="12"/>
      <c r="L4" s="12"/>
      <c r="M4" s="12"/>
      <c r="N4" s="15"/>
      <c r="O4" s="15"/>
      <c r="P4" s="15"/>
      <c r="Q4" s="15"/>
    </row>
    <row r="5" spans="1:17" x14ac:dyDescent="0.55000000000000004">
      <c r="A5" s="8">
        <v>30</v>
      </c>
      <c r="B5" s="8"/>
      <c r="C5" s="8"/>
      <c r="D5" s="10"/>
      <c r="E5" s="10"/>
      <c r="F5" s="10"/>
      <c r="G5" s="24"/>
      <c r="H5" s="29"/>
      <c r="I5" s="12"/>
      <c r="J5" s="12"/>
      <c r="K5" s="12"/>
      <c r="L5" s="12"/>
      <c r="M5" s="12"/>
      <c r="N5" s="15"/>
      <c r="O5" s="15"/>
      <c r="P5" s="15"/>
      <c r="Q5" s="15"/>
    </row>
    <row r="6" spans="1:17" x14ac:dyDescent="0.55000000000000004">
      <c r="A6" s="8">
        <v>60</v>
      </c>
      <c r="B6" s="8"/>
      <c r="C6" s="8"/>
      <c r="D6" s="10"/>
      <c r="E6" s="10"/>
      <c r="F6" s="10"/>
      <c r="G6" s="24"/>
      <c r="H6" s="29"/>
      <c r="I6" s="12"/>
      <c r="J6" s="12"/>
      <c r="K6" s="12"/>
      <c r="L6" s="12"/>
      <c r="M6" s="12"/>
      <c r="N6" s="15"/>
      <c r="O6" s="15"/>
      <c r="P6" s="15"/>
      <c r="Q6" s="15"/>
    </row>
    <row r="7" spans="1:17" x14ac:dyDescent="0.55000000000000004">
      <c r="A7" s="8">
        <v>90</v>
      </c>
      <c r="B7" s="8"/>
      <c r="C7" s="8"/>
      <c r="D7" s="10"/>
      <c r="E7" s="10"/>
      <c r="F7" s="10"/>
      <c r="G7" s="24"/>
      <c r="H7" s="29"/>
      <c r="I7" s="12"/>
      <c r="J7" s="12"/>
      <c r="K7" s="12"/>
      <c r="L7" s="12"/>
      <c r="M7" s="12"/>
      <c r="N7" s="15"/>
      <c r="O7" s="15"/>
      <c r="P7" s="15"/>
      <c r="Q7" s="15"/>
    </row>
    <row r="8" spans="1:17" x14ac:dyDescent="0.55000000000000004">
      <c r="A8" s="8">
        <v>120</v>
      </c>
      <c r="B8" s="8"/>
      <c r="C8" s="8"/>
      <c r="D8" s="10"/>
      <c r="E8" s="10"/>
      <c r="F8" s="10"/>
      <c r="G8" s="24"/>
      <c r="H8" s="29"/>
      <c r="I8" s="12"/>
      <c r="J8" s="12"/>
      <c r="K8" s="12"/>
      <c r="L8" s="12"/>
      <c r="M8" s="12"/>
      <c r="N8" s="15"/>
      <c r="O8" s="15"/>
      <c r="P8" s="15"/>
      <c r="Q8" s="15"/>
    </row>
    <row r="9" spans="1:17" x14ac:dyDescent="0.55000000000000004">
      <c r="A9" s="8">
        <v>150</v>
      </c>
      <c r="B9" s="8">
        <v>124.29</v>
      </c>
      <c r="C9" s="8">
        <v>60.76</v>
      </c>
      <c r="D9" s="32">
        <f t="shared" ref="D9:D30" si="0">B$37*A9*0.001</f>
        <v>11.780972450961725</v>
      </c>
      <c r="E9" s="32">
        <f t="shared" ref="E9:E30" si="1">SQRT(D9^2+B$34^2)</f>
        <v>13.9657191683894</v>
      </c>
      <c r="F9" s="32">
        <f>DEGREES(ACOS(D9/E9))</f>
        <v>32.481636590529753</v>
      </c>
      <c r="G9" s="33">
        <f>F9-(90-C9)</f>
        <v>3.2416365905297511</v>
      </c>
      <c r="H9" s="34">
        <f>90-F9</f>
        <v>57.518363409470247</v>
      </c>
      <c r="I9" s="13">
        <f ca="1">INTERPOLATE(program!G9,podatki!A$2:A$14,podatki!B$2:B$14,1)</f>
        <v>-5.9752396345138542E-2</v>
      </c>
      <c r="J9" s="13">
        <f ca="1">INTERPOLATE(program!G9,podatki!D$2:D$14,podatki!E$2:E$14,1)</f>
        <v>2.4214751720457833E-4</v>
      </c>
      <c r="K9" s="13">
        <f>(A9-A8)*0.001</f>
        <v>0.03</v>
      </c>
      <c r="L9" s="35">
        <f ca="1">0.5*B$33*B9*0.001*E9^2*I9*K9</f>
        <v>-2.6072977492265878E-2</v>
      </c>
      <c r="M9" s="35">
        <f ca="1">0.5*B$33*B9*0.001*E9^2*K9*J9</f>
        <v>1.0566114753649881E-4</v>
      </c>
      <c r="N9" s="16">
        <f ca="1">COS(RADIANS(H9))*L9</f>
        <v>-1.4001952125358801E-2</v>
      </c>
      <c r="O9" s="16">
        <f ca="1">COS(RADIANS(F9))*M9</f>
        <v>8.9131898848575415E-5</v>
      </c>
      <c r="P9" s="16">
        <f ca="1">N9-O9</f>
        <v>-1.4091084024207376E-2</v>
      </c>
      <c r="Q9" s="16">
        <f ca="1">P9*(A9-0.015)*0.001</f>
        <v>-2.1134512373707434E-3</v>
      </c>
    </row>
    <row r="10" spans="1:17" x14ac:dyDescent="0.55000000000000004">
      <c r="A10" s="8">
        <v>180</v>
      </c>
      <c r="B10" s="8">
        <v>144.47999999999999</v>
      </c>
      <c r="C10" s="8">
        <v>56.59</v>
      </c>
      <c r="D10" s="32">
        <f t="shared" si="0"/>
        <v>14.137166941154071</v>
      </c>
      <c r="E10" s="32">
        <f t="shared" si="1"/>
        <v>16.00342116930188</v>
      </c>
      <c r="F10" s="32">
        <f t="shared" ref="F10:F30" si="2">DEGREES(ACOS(D10/E10))</f>
        <v>27.94668724547887</v>
      </c>
      <c r="G10" s="33">
        <f t="shared" ref="G10:G30" si="3">F10-(90-C10)</f>
        <v>-5.4633127545211266</v>
      </c>
      <c r="H10" s="34">
        <f t="shared" ref="H10:H30" si="4">90-F10</f>
        <v>62.05331275452113</v>
      </c>
      <c r="I10" s="13">
        <f ca="1">INTERPOLATE(program!G10,podatki!A$2:A$14,podatki!B$2:B$14,1)</f>
        <v>-0.27041216554641723</v>
      </c>
      <c r="J10" s="13">
        <f ca="1">INTERPOLATE(program!G10,podatki!D$2:D$14,podatki!E$2:E$14,1)</f>
        <v>9.0947717561721958E-2</v>
      </c>
      <c r="K10" s="13">
        <f t="shared" ref="K10:K30" si="5">(A10-A9)*0.001</f>
        <v>0.03</v>
      </c>
      <c r="L10" s="35">
        <f t="shared" ref="L10:L29" ca="1" si="6">0.5*B$33*B10*0.001*E10^2*I10*K10</f>
        <v>-0.18010763936106011</v>
      </c>
      <c r="M10" s="35">
        <f t="shared" ref="M10:M30" ca="1" si="7">0.5*B$33*B10*0.001*E10^2*K10*J10</f>
        <v>6.0575598299058113E-2</v>
      </c>
      <c r="N10" s="16">
        <f t="shared" ref="N10:N30" ca="1" si="8">COS(RADIANS(H10))*L10</f>
        <v>-8.4407407698492615E-2</v>
      </c>
      <c r="O10" s="16">
        <f t="shared" ref="O10:O30" ca="1" si="9">COS(RADIANS(F10))*M10</f>
        <v>5.3511517109652539E-2</v>
      </c>
      <c r="P10" s="16">
        <f t="shared" ref="P10:P30" ca="1" si="10">N10-O10</f>
        <v>-0.13791892480814516</v>
      </c>
      <c r="Q10" s="16">
        <f t="shared" ref="Q10:Q30" ca="1" si="11">P10*A10*0.001</f>
        <v>-2.4825406465466132E-2</v>
      </c>
    </row>
    <row r="11" spans="1:17" x14ac:dyDescent="0.55000000000000004">
      <c r="A11" s="8">
        <v>210</v>
      </c>
      <c r="B11" s="8">
        <v>152.24</v>
      </c>
      <c r="C11" s="8">
        <v>55.1</v>
      </c>
      <c r="D11" s="32">
        <f t="shared" si="0"/>
        <v>16.493361431346415</v>
      </c>
      <c r="E11" s="32">
        <f t="shared" si="1"/>
        <v>18.118525638280435</v>
      </c>
      <c r="F11" s="32">
        <f t="shared" si="2"/>
        <v>24.452641740112789</v>
      </c>
      <c r="G11" s="33">
        <f t="shared" si="3"/>
        <v>-10.44735825988721</v>
      </c>
      <c r="H11" s="34">
        <f t="shared" si="4"/>
        <v>65.547358259887204</v>
      </c>
      <c r="I11" s="13">
        <f ca="1">INTERPOLATE(program!G11,podatki!A$2:A$14,podatki!B$2:B$14,1)</f>
        <v>-0.39102606678009033</v>
      </c>
      <c r="J11" s="13">
        <f ca="1">INTERPOLATE(program!G11,podatki!D$2:D$14,podatki!E$2:E$14,1)</f>
        <v>0.14288147172927865</v>
      </c>
      <c r="K11" s="13">
        <f t="shared" si="5"/>
        <v>0.03</v>
      </c>
      <c r="L11" s="35">
        <f t="shared" ca="1" si="6"/>
        <v>-0.35176505985577849</v>
      </c>
      <c r="M11" s="35">
        <f t="shared" ca="1" si="7"/>
        <v>0.12853544488479746</v>
      </c>
      <c r="N11" s="16">
        <f t="shared" ca="1" si="8"/>
        <v>-0.14560996858068445</v>
      </c>
      <c r="O11" s="16">
        <f t="shared" ca="1" si="9"/>
        <v>0.11700629463717618</v>
      </c>
      <c r="P11" s="16">
        <f t="shared" ca="1" si="10"/>
        <v>-0.26261626321786063</v>
      </c>
      <c r="Q11" s="16">
        <f t="shared" ca="1" si="11"/>
        <v>-5.5149415275750735E-2</v>
      </c>
    </row>
    <row r="12" spans="1:17" x14ac:dyDescent="0.55000000000000004">
      <c r="A12" s="8">
        <v>240</v>
      </c>
      <c r="B12" s="8">
        <v>149.68</v>
      </c>
      <c r="C12" s="8">
        <v>55.4</v>
      </c>
      <c r="D12" s="32">
        <f t="shared" si="0"/>
        <v>18.849555921538759</v>
      </c>
      <c r="E12" s="32">
        <f t="shared" si="1"/>
        <v>20.286837073314729</v>
      </c>
      <c r="F12" s="32">
        <f t="shared" si="2"/>
        <v>21.69698397154006</v>
      </c>
      <c r="G12" s="33">
        <f t="shared" si="3"/>
        <v>-12.903016028459941</v>
      </c>
      <c r="H12" s="34">
        <f t="shared" si="4"/>
        <v>68.303016028459936</v>
      </c>
      <c r="I12" s="13">
        <f ca="1">INTERPOLATE(program!G12,podatki!A$2:A$14,podatki!B$2:B$14,1)</f>
        <v>-0.45045298938751221</v>
      </c>
      <c r="J12" s="13">
        <f ca="1">INTERPOLATE(program!G12,podatki!D$2:D$14,podatki!E$2:E$14,1)</f>
        <v>0.16846942766189579</v>
      </c>
      <c r="K12" s="13">
        <f t="shared" si="5"/>
        <v>0.03</v>
      </c>
      <c r="L12" s="35">
        <f t="shared" ca="1" si="6"/>
        <v>-0.49947578219426708</v>
      </c>
      <c r="M12" s="35">
        <f t="shared" ca="1" si="7"/>
        <v>0.18680395321976004</v>
      </c>
      <c r="N12" s="16">
        <f t="shared" ca="1" si="8"/>
        <v>-0.18465512159037234</v>
      </c>
      <c r="O12" s="16">
        <f t="shared" ca="1" si="9"/>
        <v>0.17356927301457556</v>
      </c>
      <c r="P12" s="16">
        <f t="shared" ca="1" si="10"/>
        <v>-0.35822439460494793</v>
      </c>
      <c r="Q12" s="16">
        <f t="shared" ca="1" si="11"/>
        <v>-8.5973854705187508E-2</v>
      </c>
    </row>
    <row r="13" spans="1:17" x14ac:dyDescent="0.55000000000000004">
      <c r="A13" s="8">
        <v>270</v>
      </c>
      <c r="B13" s="8">
        <v>142.13</v>
      </c>
      <c r="C13" s="8">
        <v>57.61</v>
      </c>
      <c r="D13" s="32">
        <f t="shared" si="0"/>
        <v>21.205750411731103</v>
      </c>
      <c r="E13" s="32">
        <f t="shared" si="1"/>
        <v>22.492973358909975</v>
      </c>
      <c r="F13" s="32">
        <f t="shared" si="2"/>
        <v>19.477548933942959</v>
      </c>
      <c r="G13" s="33">
        <f t="shared" si="3"/>
        <v>-12.912451066057042</v>
      </c>
      <c r="H13" s="34">
        <f t="shared" si="4"/>
        <v>70.522451066057044</v>
      </c>
      <c r="I13" s="13">
        <f ca="1">INTERPOLATE(program!G13,podatki!A$2:A$14,podatki!B$2:B$14,1)</f>
        <v>-0.45068130912780757</v>
      </c>
      <c r="J13" s="13">
        <f ca="1">INTERPOLATE(program!G13,podatki!D$2:D$14,podatki!E$2:E$14,1)</f>
        <v>0.168567737236023</v>
      </c>
      <c r="K13" s="13">
        <f t="shared" si="5"/>
        <v>0.03</v>
      </c>
      <c r="L13" s="35">
        <f t="shared" ca="1" si="6"/>
        <v>-0.58333971623753356</v>
      </c>
      <c r="M13" s="35">
        <f t="shared" ca="1" si="7"/>
        <v>0.21818578675109637</v>
      </c>
      <c r="N13" s="16">
        <f t="shared" ca="1" si="8"/>
        <v>-0.19450731577239189</v>
      </c>
      <c r="O13" s="16">
        <f t="shared" ca="1" si="9"/>
        <v>0.20569949839015658</v>
      </c>
      <c r="P13" s="16">
        <f t="shared" ca="1" si="10"/>
        <v>-0.40020681416254844</v>
      </c>
      <c r="Q13" s="16">
        <f t="shared" ca="1" si="11"/>
        <v>-0.10805583982388808</v>
      </c>
    </row>
    <row r="14" spans="1:17" x14ac:dyDescent="0.55000000000000004">
      <c r="A14" s="8">
        <v>300</v>
      </c>
      <c r="B14" s="8">
        <v>131.29</v>
      </c>
      <c r="C14" s="8">
        <v>69.040000000000006</v>
      </c>
      <c r="D14" s="32">
        <f t="shared" si="0"/>
        <v>23.56194490192345</v>
      </c>
      <c r="E14" s="32">
        <f t="shared" si="1"/>
        <v>24.726812321067115</v>
      </c>
      <c r="F14" s="32">
        <f t="shared" si="2"/>
        <v>17.656787151412864</v>
      </c>
      <c r="G14" s="33">
        <f t="shared" si="3"/>
        <v>-3.3032128485871297</v>
      </c>
      <c r="H14" s="34">
        <f t="shared" si="4"/>
        <v>72.343212848587143</v>
      </c>
      <c r="I14" s="13">
        <f ca="1">INTERPOLATE(program!G14,podatki!A$2:A$14,podatki!B$2:B$14,1)</f>
        <v>-0.21813775172233579</v>
      </c>
      <c r="J14" s="13">
        <f ca="1">INTERPOLATE(program!G14,podatki!D$2:D$14,podatki!E$2:E$14,1)</f>
        <v>6.8439478220939834E-2</v>
      </c>
      <c r="K14" s="13">
        <f t="shared" si="5"/>
        <v>0.03</v>
      </c>
      <c r="L14" s="35">
        <f t="shared" ca="1" si="6"/>
        <v>-0.31518914428024142</v>
      </c>
      <c r="M14" s="35">
        <f t="shared" ca="1" si="7"/>
        <v>9.888880033430493E-2</v>
      </c>
      <c r="N14" s="16">
        <f t="shared" ca="1" si="8"/>
        <v>-9.5601428579120323E-2</v>
      </c>
      <c r="O14" s="16">
        <f t="shared" ca="1" si="9"/>
        <v>9.4230199778280496E-2</v>
      </c>
      <c r="P14" s="16">
        <f t="shared" ca="1" si="10"/>
        <v>-0.18983162835740081</v>
      </c>
      <c r="Q14" s="16">
        <f t="shared" ca="1" si="11"/>
        <v>-5.6949488507220244E-2</v>
      </c>
    </row>
    <row r="15" spans="1:17" x14ac:dyDescent="0.55000000000000004">
      <c r="A15" s="8">
        <v>330</v>
      </c>
      <c r="B15" s="8">
        <v>121.98</v>
      </c>
      <c r="C15" s="8">
        <v>68.290000000000006</v>
      </c>
      <c r="D15" s="32">
        <f t="shared" si="0"/>
        <v>25.918139392115794</v>
      </c>
      <c r="E15" s="32">
        <f t="shared" si="1"/>
        <v>26.981474191547512</v>
      </c>
      <c r="F15" s="32">
        <f t="shared" si="2"/>
        <v>16.13899598850961</v>
      </c>
      <c r="G15" s="33">
        <f t="shared" si="3"/>
        <v>-5.571004011490384</v>
      </c>
      <c r="H15" s="34">
        <f t="shared" si="4"/>
        <v>73.861004011490394</v>
      </c>
      <c r="I15" s="13">
        <f ca="1">INTERPOLATE(program!G15,podatki!A$2:A$14,podatki!B$2:B$14,1)</f>
        <v>-0.27301829471588135</v>
      </c>
      <c r="J15" s="13">
        <f ca="1">INTERPOLATE(program!G15,podatki!D$2:D$14,podatki!E$2:E$14,1)</f>
        <v>9.2069860782623456E-2</v>
      </c>
      <c r="K15" s="13">
        <f t="shared" si="5"/>
        <v>0.03</v>
      </c>
      <c r="L15" s="35">
        <f t="shared" ca="1" si="6"/>
        <v>-0.43639948866530415</v>
      </c>
      <c r="M15" s="35">
        <f t="shared" ca="1" si="7"/>
        <v>0.14716684172698191</v>
      </c>
      <c r="N15" s="16">
        <f t="shared" ca="1" si="8"/>
        <v>-0.12130531273992121</v>
      </c>
      <c r="O15" s="16">
        <f t="shared" ca="1" si="9"/>
        <v>0.14136702430337417</v>
      </c>
      <c r="P15" s="16">
        <f t="shared" ca="1" si="10"/>
        <v>-0.2626723370432954</v>
      </c>
      <c r="Q15" s="16">
        <f t="shared" ca="1" si="11"/>
        <v>-8.6681871224287485E-2</v>
      </c>
    </row>
    <row r="16" spans="1:17" x14ac:dyDescent="0.55000000000000004">
      <c r="A16" s="8">
        <v>360</v>
      </c>
      <c r="B16" s="8">
        <v>113.6</v>
      </c>
      <c r="C16" s="8">
        <v>76.67</v>
      </c>
      <c r="D16" s="32">
        <f t="shared" si="0"/>
        <v>28.274333882308142</v>
      </c>
      <c r="E16" s="32">
        <f t="shared" si="1"/>
        <v>29.252144476742867</v>
      </c>
      <c r="F16" s="32">
        <f t="shared" si="2"/>
        <v>14.856051280911792</v>
      </c>
      <c r="G16" s="33">
        <f t="shared" si="3"/>
        <v>1.5260512809117941</v>
      </c>
      <c r="H16" s="34">
        <f t="shared" si="4"/>
        <v>75.143948719088201</v>
      </c>
      <c r="I16" s="13">
        <f ca="1">INTERPOLATE(program!G16,podatki!A$2:A$14,podatki!B$2:B$14,1)</f>
        <v>-0.10126955895423888</v>
      </c>
      <c r="J16" s="13">
        <f ca="1">INTERPOLATE(program!G16,podatki!D$2:D$14,podatki!E$2:E$14,1)</f>
        <v>1.8118545632362634E-2</v>
      </c>
      <c r="K16" s="13">
        <f t="shared" si="5"/>
        <v>0.03</v>
      </c>
      <c r="L16" s="35">
        <f t="shared" ca="1" si="6"/>
        <v>-0.17719243427166526</v>
      </c>
      <c r="M16" s="35">
        <f t="shared" ca="1" si="7"/>
        <v>3.1702213767034498E-2</v>
      </c>
      <c r="N16" s="16">
        <f t="shared" ca="1" si="8"/>
        <v>-4.5430626738975487E-2</v>
      </c>
      <c r="O16" s="16">
        <f t="shared" ca="1" si="9"/>
        <v>3.0642504776704355E-2</v>
      </c>
      <c r="P16" s="16">
        <f t="shared" ca="1" si="10"/>
        <v>-7.6073131515679848E-2</v>
      </c>
      <c r="Q16" s="16">
        <f t="shared" ca="1" si="11"/>
        <v>-2.7386327345644744E-2</v>
      </c>
    </row>
    <row r="17" spans="1:17" x14ac:dyDescent="0.55000000000000004">
      <c r="A17" s="8">
        <v>390</v>
      </c>
      <c r="B17" s="8">
        <v>106.66</v>
      </c>
      <c r="C17" s="8">
        <v>78.959999999999994</v>
      </c>
      <c r="D17" s="32">
        <f t="shared" si="0"/>
        <v>30.630528372500486</v>
      </c>
      <c r="E17" s="32">
        <f t="shared" si="1"/>
        <v>31.535365359839375</v>
      </c>
      <c r="F17" s="32">
        <f t="shared" si="2"/>
        <v>13.758395873775504</v>
      </c>
      <c r="G17" s="33">
        <f t="shared" si="3"/>
        <v>2.7183958737754974</v>
      </c>
      <c r="H17" s="34">
        <f t="shared" si="4"/>
        <v>76.241604126224502</v>
      </c>
      <c r="I17" s="13">
        <f ca="1">INTERPOLATE(program!G17,podatki!A$2:A$14,podatki!B$2:B$14,1)</f>
        <v>-7.2414818048477159E-2</v>
      </c>
      <c r="J17" s="13">
        <f ca="1">INTERPOLATE(program!G17,podatki!D$2:D$14,podatki!E$2:E$14,1)</f>
        <v>5.6943142175677293E-3</v>
      </c>
      <c r="K17" s="13">
        <f t="shared" si="5"/>
        <v>0.03</v>
      </c>
      <c r="L17" s="35">
        <f t="shared" ca="1" si="6"/>
        <v>-0.13826022591918982</v>
      </c>
      <c r="M17" s="35">
        <f t="shared" ca="1" si="7"/>
        <v>1.0872045133755953E-2</v>
      </c>
      <c r="N17" s="16">
        <f t="shared" ca="1" si="8"/>
        <v>-3.2882184257630037E-2</v>
      </c>
      <c r="O17" s="16">
        <f t="shared" ca="1" si="9"/>
        <v>1.0560096042543956E-2</v>
      </c>
      <c r="P17" s="16">
        <f t="shared" ca="1" si="10"/>
        <v>-4.3442280300173997E-2</v>
      </c>
      <c r="Q17" s="16">
        <f t="shared" ca="1" si="11"/>
        <v>-1.694248931706786E-2</v>
      </c>
    </row>
    <row r="18" spans="1:17" x14ac:dyDescent="0.55000000000000004">
      <c r="A18" s="8">
        <v>420</v>
      </c>
      <c r="B18" s="8">
        <v>100.15</v>
      </c>
      <c r="C18" s="8">
        <v>81.819999999999993</v>
      </c>
      <c r="D18" s="32">
        <f t="shared" si="0"/>
        <v>32.986722862692829</v>
      </c>
      <c r="E18" s="32">
        <f t="shared" si="1"/>
        <v>33.828595673189007</v>
      </c>
      <c r="F18" s="32">
        <f t="shared" si="2"/>
        <v>12.809249792046076</v>
      </c>
      <c r="G18" s="33">
        <f t="shared" si="3"/>
        <v>4.6292497920460693</v>
      </c>
      <c r="H18" s="34">
        <f t="shared" si="4"/>
        <v>77.190750207953926</v>
      </c>
      <c r="I18" s="13">
        <f ca="1">INTERPOLATE(program!G18,podatki!A$2:A$14,podatki!B$2:B$14,1)</f>
        <v>-2.617216033935546E-2</v>
      </c>
      <c r="J18" s="13">
        <f ca="1">INTERPOLATE(program!G18,podatki!D$2:D$14,podatki!E$2:E$14,1)</f>
        <v>-1.4216780548095389E-2</v>
      </c>
      <c r="K18" s="13">
        <f t="shared" si="5"/>
        <v>0.03</v>
      </c>
      <c r="L18" s="35">
        <f t="shared" ca="1" si="6"/>
        <v>-5.3992193251265815E-2</v>
      </c>
      <c r="M18" s="35">
        <f t="shared" ca="1" si="7"/>
        <v>-2.9328689447517979E-2</v>
      </c>
      <c r="N18" s="16">
        <f t="shared" ca="1" si="8"/>
        <v>-1.1970388995645847E-2</v>
      </c>
      <c r="O18" s="16">
        <f t="shared" ca="1" si="9"/>
        <v>-2.8598803216002892E-2</v>
      </c>
      <c r="P18" s="16">
        <f t="shared" ca="1" si="10"/>
        <v>1.6628414220357046E-2</v>
      </c>
      <c r="Q18" s="16">
        <f t="shared" ca="1" si="11"/>
        <v>6.9839339725499593E-3</v>
      </c>
    </row>
    <row r="19" spans="1:17" x14ac:dyDescent="0.55000000000000004">
      <c r="A19" s="8">
        <v>450</v>
      </c>
      <c r="B19" s="8">
        <v>94.87</v>
      </c>
      <c r="C19" s="8">
        <v>82.95</v>
      </c>
      <c r="D19" s="32">
        <f t="shared" si="0"/>
        <v>35.342917352885173</v>
      </c>
      <c r="E19" s="32">
        <f t="shared" si="1"/>
        <v>36.129929518515141</v>
      </c>
      <c r="F19" s="32">
        <f t="shared" si="2"/>
        <v>11.980813567686189</v>
      </c>
      <c r="G19" s="33">
        <f t="shared" si="3"/>
        <v>4.9308135676861919</v>
      </c>
      <c r="H19" s="34">
        <f t="shared" si="4"/>
        <v>78.019186432313816</v>
      </c>
      <c r="I19" s="13">
        <f ca="1">INTERPOLATE(program!G19,podatki!A$2:A$14,podatki!B$2:B$14,1)</f>
        <v>-1.8874306297302239E-2</v>
      </c>
      <c r="J19" s="13">
        <f ca="1">INTERPOLATE(program!G19,podatki!D$2:D$14,podatki!E$2:E$14,1)</f>
        <v>-1.7359079685210863E-2</v>
      </c>
      <c r="K19" s="13">
        <f t="shared" si="5"/>
        <v>0.03</v>
      </c>
      <c r="L19" s="35">
        <f t="shared" ca="1" si="6"/>
        <v>-4.2073305422472007E-2</v>
      </c>
      <c r="M19" s="35">
        <f t="shared" ca="1" si="7"/>
        <v>-3.8695666476139444E-2</v>
      </c>
      <c r="N19" s="16">
        <f t="shared" ca="1" si="8"/>
        <v>-8.7337505185785726E-3</v>
      </c>
      <c r="O19" s="16">
        <f t="shared" ca="1" si="9"/>
        <v>-3.7852765294771933E-2</v>
      </c>
      <c r="P19" s="16">
        <f t="shared" ca="1" si="10"/>
        <v>2.9119014776193358E-2</v>
      </c>
      <c r="Q19" s="16">
        <f t="shared" ca="1" si="11"/>
        <v>1.3103556649287012E-2</v>
      </c>
    </row>
    <row r="20" spans="1:17" x14ac:dyDescent="0.55000000000000004">
      <c r="A20" s="8">
        <v>480</v>
      </c>
      <c r="B20" s="8">
        <v>89.59</v>
      </c>
      <c r="C20" s="8">
        <v>84.12</v>
      </c>
      <c r="D20" s="32">
        <f t="shared" si="0"/>
        <v>37.699111843077517</v>
      </c>
      <c r="E20" s="32">
        <f t="shared" si="1"/>
        <v>38.437911412521721</v>
      </c>
      <c r="F20" s="32">
        <f t="shared" si="2"/>
        <v>11.251725724946718</v>
      </c>
      <c r="G20" s="33">
        <f t="shared" si="3"/>
        <v>5.3717257249467227</v>
      </c>
      <c r="H20" s="34">
        <f t="shared" si="4"/>
        <v>78.748274275053276</v>
      </c>
      <c r="I20" s="13">
        <f ca="1">INTERPOLATE(program!G20,podatki!A$2:A$14,podatki!B$2:B$14,1)</f>
        <v>-8.2042414665222108E-3</v>
      </c>
      <c r="J20" s="13">
        <f ca="1">INTERPOLATE(program!G20,podatki!D$2:D$14,podatki!E$2:E$14,1)</f>
        <v>-2.1953380327224405E-2</v>
      </c>
      <c r="K20" s="13">
        <f t="shared" si="5"/>
        <v>0.03</v>
      </c>
      <c r="L20" s="35">
        <f t="shared" ca="1" si="6"/>
        <v>-1.954744675132505E-2</v>
      </c>
      <c r="M20" s="35">
        <f t="shared" ca="1" si="7"/>
        <v>-5.2306180249460148E-2</v>
      </c>
      <c r="N20" s="16">
        <f t="shared" ca="1" si="8"/>
        <v>-3.8140951276343033E-3</v>
      </c>
      <c r="O20" s="16">
        <f t="shared" ca="1" si="9"/>
        <v>-5.1300824286363171E-2</v>
      </c>
      <c r="P20" s="16">
        <f t="shared" ca="1" si="10"/>
        <v>4.7486729158728869E-2</v>
      </c>
      <c r="Q20" s="16">
        <f t="shared" ca="1" si="11"/>
        <v>2.2793629996189859E-2</v>
      </c>
    </row>
    <row r="21" spans="1:17" x14ac:dyDescent="0.55000000000000004">
      <c r="A21" s="8">
        <v>510</v>
      </c>
      <c r="B21" s="8">
        <v>84.41</v>
      </c>
      <c r="C21" s="8">
        <v>86.59</v>
      </c>
      <c r="D21" s="32">
        <f t="shared" si="0"/>
        <v>40.055306333269868</v>
      </c>
      <c r="E21" s="32">
        <f t="shared" si="1"/>
        <v>40.751411821580973</v>
      </c>
      <c r="F21" s="32">
        <f t="shared" si="2"/>
        <v>10.605325046129101</v>
      </c>
      <c r="G21" s="33">
        <f t="shared" si="3"/>
        <v>7.1953250461291045</v>
      </c>
      <c r="H21" s="34">
        <f t="shared" si="4"/>
        <v>79.394674953870904</v>
      </c>
      <c r="I21" s="13">
        <f ca="1">INTERPOLATE(program!G21,podatki!A$2:A$14,podatki!B$2:B$14,1)</f>
        <v>3.5926862525939948E-2</v>
      </c>
      <c r="J21" s="13">
        <f ca="1">INTERPOLATE(program!G21,podatki!D$2:D$14,podatki!E$2:E$14,1)</f>
        <v>-4.0955285434722544E-2</v>
      </c>
      <c r="K21" s="13">
        <f t="shared" si="5"/>
        <v>0.03</v>
      </c>
      <c r="L21" s="35">
        <f t="shared" ca="1" si="6"/>
        <v>9.0650669563294747E-2</v>
      </c>
      <c r="M21" s="35">
        <f t="shared" ca="1" si="7"/>
        <v>-0.10333838765165923</v>
      </c>
      <c r="N21" s="16">
        <f t="shared" ca="1" si="8"/>
        <v>1.6683594293650031E-2</v>
      </c>
      <c r="O21" s="16">
        <f t="shared" ca="1" si="9"/>
        <v>-0.10157318699769205</v>
      </c>
      <c r="P21" s="16">
        <f t="shared" ca="1" si="10"/>
        <v>0.11825678129134208</v>
      </c>
      <c r="Q21" s="16">
        <f t="shared" ca="1" si="11"/>
        <v>6.031095845858446E-2</v>
      </c>
    </row>
    <row r="22" spans="1:17" x14ac:dyDescent="0.55000000000000004">
      <c r="A22" s="8">
        <v>540</v>
      </c>
      <c r="B22" s="8">
        <v>80.290000000000006</v>
      </c>
      <c r="C22" s="8">
        <v>88.91</v>
      </c>
      <c r="D22" s="32">
        <f t="shared" si="0"/>
        <v>42.411500823462205</v>
      </c>
      <c r="E22" s="32">
        <f t="shared" si="1"/>
        <v>43.069541466081752</v>
      </c>
      <c r="F22" s="32">
        <f t="shared" si="2"/>
        <v>10.028439759820388</v>
      </c>
      <c r="G22" s="33">
        <f t="shared" si="3"/>
        <v>8.9384397598203851</v>
      </c>
      <c r="H22" s="34">
        <f t="shared" si="4"/>
        <v>79.971560240179613</v>
      </c>
      <c r="I22" s="13">
        <f ca="1">INTERPOLATE(program!G22,podatki!A$2:A$14,podatki!B$2:B$14,1)</f>
        <v>7.8110232734680179E-2</v>
      </c>
      <c r="J22" s="13">
        <f ca="1">INTERPOLATE(program!G22,podatki!D$2:D$14,podatki!E$2:E$14,1)</f>
        <v>-5.9118538227080922E-2</v>
      </c>
      <c r="K22" s="13">
        <f t="shared" si="5"/>
        <v>0.03</v>
      </c>
      <c r="L22" s="35">
        <f t="shared" ca="1" si="6"/>
        <v>0.20940275496989705</v>
      </c>
      <c r="M22" s="35">
        <f t="shared" ca="1" si="7"/>
        <v>-0.15848864279529284</v>
      </c>
      <c r="N22" s="16">
        <f t="shared" ca="1" si="8"/>
        <v>3.6464763933255546E-2</v>
      </c>
      <c r="O22" s="16">
        <f t="shared" ca="1" si="9"/>
        <v>-0.15606716430253836</v>
      </c>
      <c r="P22" s="16">
        <f t="shared" ca="1" si="10"/>
        <v>0.1925319282357939</v>
      </c>
      <c r="Q22" s="16">
        <f t="shared" ca="1" si="11"/>
        <v>0.1039672412473287</v>
      </c>
    </row>
    <row r="23" spans="1:17" x14ac:dyDescent="0.55000000000000004">
      <c r="A23" s="8">
        <v>570</v>
      </c>
      <c r="B23" s="8">
        <v>77.28</v>
      </c>
      <c r="C23" s="8">
        <v>89.43</v>
      </c>
      <c r="D23" s="32">
        <f t="shared" si="0"/>
        <v>44.767695313654556</v>
      </c>
      <c r="E23" s="32">
        <f t="shared" si="1"/>
        <v>45.39159111218958</v>
      </c>
      <c r="F23" s="32">
        <f t="shared" si="2"/>
        <v>9.5105285731977904</v>
      </c>
      <c r="G23" s="33">
        <f t="shared" si="3"/>
        <v>8.9405285731977973</v>
      </c>
      <c r="H23" s="34">
        <f t="shared" si="4"/>
        <v>80.489471426802211</v>
      </c>
      <c r="I23" s="13">
        <f ca="1">INTERPOLATE(program!G23,podatki!A$2:A$14,podatki!B$2:B$14,1)</f>
        <v>7.8160798645019541E-2</v>
      </c>
      <c r="J23" s="13">
        <f ca="1">INTERPOLATE(program!G23,podatki!D$2:D$14,podatki!E$2:E$14,1)</f>
        <v>-5.9140310821532822E-2</v>
      </c>
      <c r="K23" s="13">
        <f t="shared" si="5"/>
        <v>0.03</v>
      </c>
      <c r="L23" s="35">
        <f t="shared" ca="1" si="6"/>
        <v>0.22401619666817557</v>
      </c>
      <c r="M23" s="35">
        <f t="shared" ca="1" si="7"/>
        <v>-0.1695016904853201</v>
      </c>
      <c r="N23" s="16">
        <f t="shared" ca="1" si="8"/>
        <v>3.7013936587037458E-2</v>
      </c>
      <c r="O23" s="16">
        <f t="shared" ca="1" si="9"/>
        <v>-0.16717193314597059</v>
      </c>
      <c r="P23" s="16">
        <f t="shared" ca="1" si="10"/>
        <v>0.20418586973300806</v>
      </c>
      <c r="Q23" s="16">
        <f t="shared" ca="1" si="11"/>
        <v>0.11638594574781461</v>
      </c>
    </row>
    <row r="24" spans="1:17" x14ac:dyDescent="0.55000000000000004">
      <c r="A24" s="8">
        <v>600</v>
      </c>
      <c r="B24" s="8">
        <v>73.709999999999994</v>
      </c>
      <c r="C24" s="8">
        <v>90.2</v>
      </c>
      <c r="D24" s="32">
        <f t="shared" si="0"/>
        <v>47.1238898038469</v>
      </c>
      <c r="E24" s="32">
        <f t="shared" si="1"/>
        <v>47.716988486754964</v>
      </c>
      <c r="F24" s="32">
        <f t="shared" si="2"/>
        <v>9.0430610790376633</v>
      </c>
      <c r="G24" s="33">
        <f t="shared" si="3"/>
        <v>9.2430610790376662</v>
      </c>
      <c r="H24" s="34">
        <f t="shared" si="4"/>
        <v>80.95693892096233</v>
      </c>
      <c r="I24" s="13">
        <f ca="1">INTERPOLATE(program!G24,podatki!A$2:A$14,podatki!B$2:B$14,1)</f>
        <v>8.5482077789306651E-2</v>
      </c>
      <c r="J24" s="13">
        <f ca="1">INTERPOLATE(program!G24,podatki!D$2:D$14,podatki!E$2:E$14,1)</f>
        <v>-6.2292696304320903E-2</v>
      </c>
      <c r="K24" s="13">
        <f t="shared" si="5"/>
        <v>0.03</v>
      </c>
      <c r="L24" s="35">
        <f t="shared" ca="1" si="6"/>
        <v>0.2582379346100333</v>
      </c>
      <c r="M24" s="35">
        <f t="shared" ca="1" si="7"/>
        <v>-0.18818374156237694</v>
      </c>
      <c r="N24" s="16">
        <f t="shared" ca="1" si="8"/>
        <v>4.0588992956100904E-2</v>
      </c>
      <c r="O24" s="16">
        <f t="shared" ca="1" si="9"/>
        <v>-0.18584471026964694</v>
      </c>
      <c r="P24" s="16">
        <f t="shared" ca="1" si="10"/>
        <v>0.22643370322574785</v>
      </c>
      <c r="Q24" s="16">
        <f t="shared" ca="1" si="11"/>
        <v>0.13586022193544872</v>
      </c>
    </row>
    <row r="25" spans="1:17" x14ac:dyDescent="0.55000000000000004">
      <c r="A25" s="8">
        <v>630</v>
      </c>
      <c r="B25" s="8">
        <v>70.97</v>
      </c>
      <c r="C25" s="8">
        <v>90.66</v>
      </c>
      <c r="D25" s="32">
        <f t="shared" si="0"/>
        <v>49.480084294039244</v>
      </c>
      <c r="E25" s="32">
        <f t="shared" si="1"/>
        <v>50.045266926505938</v>
      </c>
      <c r="F25" s="32">
        <f t="shared" si="2"/>
        <v>8.6190639078967717</v>
      </c>
      <c r="G25" s="33">
        <f t="shared" si="3"/>
        <v>9.2790639078967683</v>
      </c>
      <c r="H25" s="34">
        <f t="shared" si="4"/>
        <v>81.380936092103227</v>
      </c>
      <c r="I25" s="13">
        <f ca="1">INTERPOLATE(program!G25,podatki!A$2:A$14,podatki!B$2:B$14,1)</f>
        <v>8.6353353118896484E-2</v>
      </c>
      <c r="J25" s="13">
        <f ca="1">INTERPOLATE(program!G25,podatki!D$2:D$14,podatki!E$2:E$14,1)</f>
        <v>-6.2667848739623638E-2</v>
      </c>
      <c r="K25" s="13">
        <f t="shared" si="5"/>
        <v>0.03</v>
      </c>
      <c r="L25" s="35">
        <f t="shared" ca="1" si="6"/>
        <v>0.27628196507013547</v>
      </c>
      <c r="M25" s="35">
        <f t="shared" ca="1" si="7"/>
        <v>-0.20050172658220092</v>
      </c>
      <c r="N25" s="16">
        <f t="shared" ca="1" si="8"/>
        <v>4.1404809391246293E-2</v>
      </c>
      <c r="O25" s="16">
        <f t="shared" ca="1" si="9"/>
        <v>-0.19823737471431574</v>
      </c>
      <c r="P25" s="16">
        <f t="shared" ca="1" si="10"/>
        <v>0.23964218410556204</v>
      </c>
      <c r="Q25" s="16">
        <f t="shared" ca="1" si="11"/>
        <v>0.15097457598650407</v>
      </c>
    </row>
    <row r="26" spans="1:17" x14ac:dyDescent="0.55000000000000004">
      <c r="A26" s="8">
        <v>660</v>
      </c>
      <c r="B26" s="8">
        <v>67.97</v>
      </c>
      <c r="C26" s="8">
        <v>92.05</v>
      </c>
      <c r="D26" s="32">
        <f t="shared" si="0"/>
        <v>51.836278784231588</v>
      </c>
      <c r="E26" s="32">
        <f t="shared" si="1"/>
        <v>52.376042215850731</v>
      </c>
      <c r="F26" s="32">
        <f t="shared" si="2"/>
        <v>8.2327835421701714</v>
      </c>
      <c r="G26" s="33">
        <f t="shared" si="3"/>
        <v>10.282783542170169</v>
      </c>
      <c r="H26" s="34">
        <f t="shared" si="4"/>
        <v>81.767216457829832</v>
      </c>
      <c r="I26" s="13">
        <f ca="1">INTERPOLATE(program!G26,podatki!A$2:A$14,podatki!B$2:B$14,1)</f>
        <v>0.11064336090087891</v>
      </c>
      <c r="J26" s="13">
        <f ca="1">INTERPOLATE(program!G26,podatki!D$2:D$14,podatki!E$2:E$14,1)</f>
        <v>-7.3126604156493746E-2</v>
      </c>
      <c r="K26" s="13">
        <f t="shared" si="5"/>
        <v>0.03</v>
      </c>
      <c r="L26" s="35">
        <f t="shared" ca="1" si="6"/>
        <v>0.37134748793103761</v>
      </c>
      <c r="M26" s="35">
        <f t="shared" ca="1" si="7"/>
        <v>-0.24543163307167409</v>
      </c>
      <c r="N26" s="16">
        <f t="shared" ca="1" si="8"/>
        <v>5.3175193116060171E-2</v>
      </c>
      <c r="O26" s="16">
        <f t="shared" ca="1" si="9"/>
        <v>-0.24290232740270612</v>
      </c>
      <c r="P26" s="16">
        <f t="shared" ca="1" si="10"/>
        <v>0.29607752051876629</v>
      </c>
      <c r="Q26" s="16">
        <f t="shared" ca="1" si="11"/>
        <v>0.19541116354238577</v>
      </c>
    </row>
    <row r="27" spans="1:17" x14ac:dyDescent="0.55000000000000004">
      <c r="A27" s="8">
        <v>690</v>
      </c>
      <c r="B27" s="8">
        <v>66.37</v>
      </c>
      <c r="C27" s="8">
        <v>92.29</v>
      </c>
      <c r="D27" s="32">
        <f t="shared" si="0"/>
        <v>54.192473274423939</v>
      </c>
      <c r="E27" s="32">
        <f t="shared" si="1"/>
        <v>54.708995234779749</v>
      </c>
      <c r="F27" s="32">
        <f t="shared" si="2"/>
        <v>7.8794325068528881</v>
      </c>
      <c r="G27" s="33">
        <f t="shared" si="3"/>
        <v>10.169432506852894</v>
      </c>
      <c r="H27" s="34">
        <f t="shared" si="4"/>
        <v>82.120567493147107</v>
      </c>
      <c r="I27" s="13">
        <f ca="1">INTERPOLATE(program!G27,podatki!A$2:A$14,podatki!B$2:B$14,1)</f>
        <v>0.10790026988983155</v>
      </c>
      <c r="J27" s="13">
        <f ca="1">INTERPOLATE(program!G27,podatki!D$2:D$14,podatki!E$2:E$14,1)</f>
        <v>-7.1945488109588229E-2</v>
      </c>
      <c r="K27" s="13">
        <f t="shared" si="5"/>
        <v>0.03</v>
      </c>
      <c r="L27" s="35">
        <f t="shared" ca="1" si="6"/>
        <v>0.38581963980385897</v>
      </c>
      <c r="M27" s="35">
        <f t="shared" ca="1" si="7"/>
        <v>-0.25725591174420265</v>
      </c>
      <c r="N27" s="16">
        <f t="shared" ca="1" si="8"/>
        <v>5.2891618391291563E-2</v>
      </c>
      <c r="O27" s="16">
        <f t="shared" ca="1" si="9"/>
        <v>-0.25482709126820963</v>
      </c>
      <c r="P27" s="16">
        <f t="shared" ca="1" si="10"/>
        <v>0.30771870965950121</v>
      </c>
      <c r="Q27" s="16">
        <f t="shared" ca="1" si="11"/>
        <v>0.21232590966505582</v>
      </c>
    </row>
    <row r="28" spans="1:17" x14ac:dyDescent="0.55000000000000004">
      <c r="A28" s="8">
        <v>720</v>
      </c>
      <c r="B28" s="8">
        <v>63.37</v>
      </c>
      <c r="C28" s="8">
        <v>92.6</v>
      </c>
      <c r="D28" s="32">
        <f t="shared" si="0"/>
        <v>56.548667764616283</v>
      </c>
      <c r="E28" s="32">
        <f t="shared" si="1"/>
        <v>57.043858792625109</v>
      </c>
      <c r="F28" s="32">
        <f t="shared" si="2"/>
        <v>7.5549959992198712</v>
      </c>
      <c r="G28" s="33">
        <f t="shared" si="3"/>
        <v>10.154995999219866</v>
      </c>
      <c r="H28" s="34">
        <f t="shared" si="4"/>
        <v>82.445004000780131</v>
      </c>
      <c r="I28" s="13">
        <f ca="1">INTERPOLATE(program!G28,podatki!A$2:A$14,podatki!B$2:B$14,1)</f>
        <v>0.107550901222229</v>
      </c>
      <c r="J28" s="13">
        <f ca="1">INTERPOLATE(program!G28,podatki!D$2:D$14,podatki!E$2:E$14,1)</f>
        <v>-7.1795057468413914E-2</v>
      </c>
      <c r="K28" s="13">
        <f t="shared" si="5"/>
        <v>0.03</v>
      </c>
      <c r="L28" s="35">
        <f t="shared" ca="1" si="6"/>
        <v>0.39919772576153506</v>
      </c>
      <c r="M28" s="35">
        <f t="shared" ca="1" si="7"/>
        <v>-0.26648241285388607</v>
      </c>
      <c r="N28" s="16">
        <f t="shared" ca="1" si="8"/>
        <v>5.2485631347201085E-2</v>
      </c>
      <c r="O28" s="16">
        <f t="shared" ca="1" si="9"/>
        <v>-0.26416911037469881</v>
      </c>
      <c r="P28" s="16">
        <f t="shared" ca="1" si="10"/>
        <v>0.31665474172189989</v>
      </c>
      <c r="Q28" s="16">
        <f t="shared" ca="1" si="11"/>
        <v>0.22799141403976794</v>
      </c>
    </row>
    <row r="29" spans="1:17" x14ac:dyDescent="0.55000000000000004">
      <c r="A29" s="8">
        <v>750</v>
      </c>
      <c r="B29" s="8">
        <v>60.72</v>
      </c>
      <c r="C29" s="8">
        <v>92.92</v>
      </c>
      <c r="D29" s="32">
        <f t="shared" si="0"/>
        <v>58.90486225480862</v>
      </c>
      <c r="E29" s="32">
        <f t="shared" si="1"/>
        <v>59.380407520140658</v>
      </c>
      <c r="F29" s="32">
        <f t="shared" si="2"/>
        <v>7.2560829106409184</v>
      </c>
      <c r="G29" s="33">
        <f t="shared" si="3"/>
        <v>10.17608291064092</v>
      </c>
      <c r="H29" s="34">
        <f t="shared" si="4"/>
        <v>82.743917089359087</v>
      </c>
      <c r="I29" s="13">
        <f ca="1">INTERPOLATE(program!G29,podatki!A$2:A$14,podatki!B$2:B$14,1)</f>
        <v>0.10806119918823243</v>
      </c>
      <c r="J29" s="13">
        <f ca="1">INTERPOLATE(program!G29,podatki!D$2:D$14,podatki!E$2:E$14,1)</f>
        <v>-7.2014780807494724E-2</v>
      </c>
      <c r="K29" s="13">
        <f t="shared" si="5"/>
        <v>0.03</v>
      </c>
      <c r="L29" s="35">
        <f t="shared" ca="1" si="6"/>
        <v>0.41644763327316897</v>
      </c>
      <c r="M29" s="35">
        <f t="shared" ca="1" si="7"/>
        <v>-0.27753148450376519</v>
      </c>
      <c r="N29" s="16">
        <f t="shared" ca="1" si="8"/>
        <v>5.2599121157755155E-2</v>
      </c>
      <c r="O29" s="16">
        <f t="shared" ca="1" si="9"/>
        <v>-0.27530888636158213</v>
      </c>
      <c r="P29" s="16">
        <f t="shared" ca="1" si="10"/>
        <v>0.3279080075193373</v>
      </c>
      <c r="Q29" s="16">
        <f t="shared" ca="1" si="11"/>
        <v>0.24593100563950299</v>
      </c>
    </row>
    <row r="30" spans="1:17" x14ac:dyDescent="0.55000000000000004">
      <c r="A30" s="8">
        <v>760</v>
      </c>
      <c r="B30" s="8">
        <v>59.84</v>
      </c>
      <c r="C30" s="8">
        <v>92.37</v>
      </c>
      <c r="D30" s="32">
        <f t="shared" si="0"/>
        <v>59.690260418206073</v>
      </c>
      <c r="E30" s="32">
        <f t="shared" si="1"/>
        <v>60.159597644875078</v>
      </c>
      <c r="F30" s="32">
        <f t="shared" si="2"/>
        <v>7.1616059578738858</v>
      </c>
      <c r="G30" s="33">
        <f t="shared" si="3"/>
        <v>9.5316059578738894</v>
      </c>
      <c r="H30" s="34">
        <f t="shared" si="4"/>
        <v>82.838394042126112</v>
      </c>
      <c r="I30" s="13">
        <f ca="1">INTERPOLATE(program!G30,podatki!A$2:A$14,podatki!B$2:B$14,1)</f>
        <v>9.2464858436584474E-2</v>
      </c>
      <c r="J30" s="13">
        <f ca="1">INTERPOLATE(program!G30,podatki!D$2:D$14,podatki!E$2:E$14,1)</f>
        <v>-6.5299331607818215E-2</v>
      </c>
      <c r="K30" s="13">
        <f t="shared" si="5"/>
        <v>0.01</v>
      </c>
      <c r="L30" s="35">
        <f ca="1">0.5*B$33*B30*0.001*E30^2*I30*K30</f>
        <v>0.12015155347256448</v>
      </c>
      <c r="M30" s="35">
        <f t="shared" ca="1" si="7"/>
        <v>-8.4851869846103933E-2</v>
      </c>
      <c r="N30" s="16">
        <f t="shared" ca="1" si="8"/>
        <v>1.4979100365060432E-2</v>
      </c>
      <c r="O30" s="16">
        <f t="shared" ca="1" si="9"/>
        <v>-8.4189894985395364E-2</v>
      </c>
      <c r="P30" s="16">
        <f t="shared" ca="1" si="10"/>
        <v>9.9168995350455799E-2</v>
      </c>
      <c r="Q30" s="16">
        <f t="shared" ca="1" si="11"/>
        <v>7.5368436466346417E-2</v>
      </c>
    </row>
    <row r="31" spans="1:17" x14ac:dyDescent="0.55000000000000004">
      <c r="A31" s="8"/>
      <c r="B31" s="8"/>
      <c r="C31" s="8"/>
      <c r="D31" s="10"/>
      <c r="E31" s="10"/>
      <c r="F31" s="10"/>
      <c r="G31" s="24"/>
      <c r="H31" s="29"/>
      <c r="I31" s="12"/>
      <c r="J31" s="13"/>
      <c r="K31" s="13"/>
      <c r="L31" s="12"/>
      <c r="M31" s="12"/>
      <c r="N31" s="15"/>
      <c r="O31" s="15"/>
      <c r="P31" s="15"/>
      <c r="Q31" s="15"/>
    </row>
    <row r="32" spans="1:17" x14ac:dyDescent="0.55000000000000004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3" x14ac:dyDescent="0.55000000000000004">
      <c r="A33" t="s">
        <v>6</v>
      </c>
      <c r="B33">
        <v>1.2</v>
      </c>
      <c r="C33" t="s">
        <v>8</v>
      </c>
    </row>
    <row r="34" spans="1:3" x14ac:dyDescent="0.55000000000000004">
      <c r="A34" t="s">
        <v>7</v>
      </c>
      <c r="B34">
        <v>7.5</v>
      </c>
      <c r="C34" t="s">
        <v>9</v>
      </c>
    </row>
    <row r="35" spans="1:3" x14ac:dyDescent="0.55000000000000004">
      <c r="A35" t="s">
        <v>1</v>
      </c>
      <c r="B35">
        <v>750</v>
      </c>
      <c r="C35" t="s">
        <v>3</v>
      </c>
    </row>
    <row r="37" spans="1:3" x14ac:dyDescent="0.55000000000000004">
      <c r="A37" s="3" t="s">
        <v>1</v>
      </c>
      <c r="B37" s="5">
        <f>B35*(2*PI())/60</f>
        <v>78.539816339744831</v>
      </c>
      <c r="C37" s="3" t="s">
        <v>4</v>
      </c>
    </row>
    <row r="38" spans="1:3" x14ac:dyDescent="0.55000000000000004">
      <c r="A38" s="1" t="s">
        <v>15</v>
      </c>
      <c r="B38" s="6">
        <f ca="1">SUM(Q4:Q30)</f>
        <v>1.1033298494448829</v>
      </c>
      <c r="C38" s="1" t="s">
        <v>14</v>
      </c>
    </row>
    <row r="39" spans="1:3" x14ac:dyDescent="0.55000000000000004">
      <c r="A39" s="3" t="s">
        <v>58</v>
      </c>
      <c r="B39" s="5">
        <f ca="1">B38*5</f>
        <v>5.5166492472244144</v>
      </c>
      <c r="C39" s="3" t="s">
        <v>14</v>
      </c>
    </row>
    <row r="40" spans="1:3" x14ac:dyDescent="0.55000000000000004">
      <c r="A40" s="3" t="s">
        <v>16</v>
      </c>
      <c r="B40" s="5">
        <f ca="1">B39*B37</f>
        <v>433.27661868779711</v>
      </c>
      <c r="C40" s="3" t="s">
        <v>2</v>
      </c>
    </row>
    <row r="41" spans="1:3" x14ac:dyDescent="0.55000000000000004">
      <c r="A41" s="3" t="s">
        <v>57</v>
      </c>
      <c r="B41" s="30">
        <f>0.5*B33*PI()*(0.776)^2*B34^3</f>
        <v>478.85977349754711</v>
      </c>
      <c r="C41" s="3" t="s">
        <v>2</v>
      </c>
    </row>
    <row r="42" spans="1:3" x14ac:dyDescent="0.55000000000000004">
      <c r="A42" s="3" t="s">
        <v>0</v>
      </c>
      <c r="B42" s="31">
        <f ca="1">B40/B41</f>
        <v>0.90480897053261566</v>
      </c>
      <c r="C42" s="3"/>
    </row>
    <row r="44" spans="1:3" x14ac:dyDescent="0.55000000000000004">
      <c r="A44" s="3" t="s">
        <v>59</v>
      </c>
      <c r="B44">
        <f ca="1">2*PI()*B35/60*B39</f>
        <v>433.27661868779711</v>
      </c>
    </row>
  </sheetData>
  <mergeCells count="4">
    <mergeCell ref="A1:C1"/>
    <mergeCell ref="D1:F1"/>
    <mergeCell ref="N1:Q1"/>
    <mergeCell ref="I1:M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94"/>
  <sheetViews>
    <sheetView tabSelected="1" topLeftCell="A18" workbookViewId="0">
      <selection activeCell="C6" sqref="C6"/>
    </sheetView>
  </sheetViews>
  <sheetFormatPr defaultRowHeight="14.4" x14ac:dyDescent="0.55000000000000004"/>
  <sheetData>
    <row r="1" spans="1:5" x14ac:dyDescent="0.55000000000000004">
      <c r="A1" t="s">
        <v>54</v>
      </c>
      <c r="B1" t="s">
        <v>10</v>
      </c>
      <c r="D1" t="s">
        <v>5</v>
      </c>
      <c r="E1" t="s">
        <v>11</v>
      </c>
    </row>
    <row r="2" spans="1:5" x14ac:dyDescent="0.55000000000000004">
      <c r="A2">
        <v>-22.5</v>
      </c>
      <c r="B2">
        <v>-0.72560000000000002</v>
      </c>
      <c r="D2">
        <v>-22.5</v>
      </c>
      <c r="E2">
        <v>0.27666000000000002</v>
      </c>
    </row>
    <row r="3" spans="1:5" x14ac:dyDescent="0.55000000000000004">
      <c r="A3">
        <v>-22</v>
      </c>
      <c r="B3">
        <v>-0.70899999999999996</v>
      </c>
      <c r="D3">
        <v>-22</v>
      </c>
      <c r="E3">
        <v>0.26956000000000002</v>
      </c>
    </row>
    <row r="4" spans="1:5" x14ac:dyDescent="0.55000000000000004">
      <c r="A4">
        <v>-21.5</v>
      </c>
      <c r="B4">
        <v>-0.69310000000000005</v>
      </c>
      <c r="D4">
        <v>-21.5</v>
      </c>
      <c r="E4">
        <v>0.26319999999999999</v>
      </c>
    </row>
    <row r="5" spans="1:5" x14ac:dyDescent="0.55000000000000004">
      <c r="A5">
        <v>-21</v>
      </c>
      <c r="B5">
        <v>-0.67730000000000001</v>
      </c>
      <c r="D5">
        <v>-21</v>
      </c>
      <c r="E5">
        <v>0.25678000000000001</v>
      </c>
    </row>
    <row r="6" spans="1:5" x14ac:dyDescent="0.55000000000000004">
      <c r="A6">
        <v>-20.5</v>
      </c>
      <c r="B6">
        <v>-0.66149999999999998</v>
      </c>
      <c r="D6">
        <v>-20.5</v>
      </c>
      <c r="E6">
        <v>0.25042999999999999</v>
      </c>
    </row>
    <row r="7" spans="1:5" x14ac:dyDescent="0.55000000000000004">
      <c r="A7">
        <v>-20</v>
      </c>
      <c r="B7">
        <v>-0.64539999999999997</v>
      </c>
      <c r="D7">
        <v>-20</v>
      </c>
      <c r="E7">
        <v>0.24415000000000001</v>
      </c>
    </row>
    <row r="8" spans="1:5" x14ac:dyDescent="0.55000000000000004">
      <c r="A8">
        <v>-19.5</v>
      </c>
      <c r="B8">
        <v>-0.62929999999999997</v>
      </c>
      <c r="D8">
        <v>-19.5</v>
      </c>
      <c r="E8">
        <v>0.23798</v>
      </c>
    </row>
    <row r="9" spans="1:5" x14ac:dyDescent="0.55000000000000004">
      <c r="A9">
        <v>-19</v>
      </c>
      <c r="B9">
        <v>-0.61299999999999999</v>
      </c>
      <c r="D9">
        <v>-19</v>
      </c>
      <c r="E9">
        <v>0.2319</v>
      </c>
    </row>
    <row r="10" spans="1:5" x14ac:dyDescent="0.55000000000000004">
      <c r="A10">
        <v>-18.5</v>
      </c>
      <c r="B10">
        <v>-0.59670000000000001</v>
      </c>
      <c r="D10">
        <v>-18.5</v>
      </c>
      <c r="E10">
        <v>0.22592000000000001</v>
      </c>
    </row>
    <row r="11" spans="1:5" x14ac:dyDescent="0.55000000000000004">
      <c r="A11">
        <v>-18</v>
      </c>
      <c r="B11">
        <v>-0.58009999999999995</v>
      </c>
      <c r="D11">
        <v>-18</v>
      </c>
      <c r="E11">
        <v>0.22012000000000001</v>
      </c>
    </row>
    <row r="12" spans="1:5" x14ac:dyDescent="0.55000000000000004">
      <c r="A12">
        <v>-17.5</v>
      </c>
      <c r="B12">
        <v>-0.56320000000000003</v>
      </c>
      <c r="D12">
        <v>-17.5</v>
      </c>
      <c r="E12">
        <v>0.21539</v>
      </c>
    </row>
    <row r="13" spans="1:5" x14ac:dyDescent="0.55000000000000004">
      <c r="A13">
        <v>-17</v>
      </c>
      <c r="B13">
        <v>-0.54959999999999998</v>
      </c>
      <c r="D13">
        <v>-17</v>
      </c>
      <c r="E13">
        <v>0.21115999999999999</v>
      </c>
    </row>
    <row r="14" spans="1:5" x14ac:dyDescent="0.55000000000000004">
      <c r="A14">
        <v>-16.5</v>
      </c>
      <c r="B14">
        <v>-0.53749999999999998</v>
      </c>
      <c r="D14">
        <v>-16.5</v>
      </c>
      <c r="E14">
        <v>0.20594999999999999</v>
      </c>
    </row>
    <row r="15" spans="1:5" x14ac:dyDescent="0.55000000000000004">
      <c r="A15">
        <v>-16</v>
      </c>
      <c r="B15">
        <v>-0.52500000000000002</v>
      </c>
      <c r="C15" s="3"/>
      <c r="D15">
        <v>-16</v>
      </c>
      <c r="E15">
        <v>0.19986000000000001</v>
      </c>
    </row>
    <row r="16" spans="1:5" x14ac:dyDescent="0.55000000000000004">
      <c r="A16">
        <v>-15.5</v>
      </c>
      <c r="B16">
        <v>-0.51219999999999999</v>
      </c>
      <c r="C16" s="3"/>
      <c r="D16">
        <v>-15.5</v>
      </c>
      <c r="E16">
        <v>0.19320999999999999</v>
      </c>
    </row>
    <row r="17" spans="1:5" x14ac:dyDescent="0.55000000000000004">
      <c r="A17">
        <v>-15</v>
      </c>
      <c r="B17">
        <v>-0.49980000000000002</v>
      </c>
      <c r="C17" s="3"/>
      <c r="D17">
        <v>-15</v>
      </c>
      <c r="E17">
        <v>0.18622</v>
      </c>
    </row>
    <row r="18" spans="1:5" x14ac:dyDescent="0.55000000000000004">
      <c r="A18">
        <v>-14.5</v>
      </c>
      <c r="B18">
        <v>-0.4879</v>
      </c>
      <c r="C18" s="3"/>
      <c r="D18">
        <v>-14.5</v>
      </c>
      <c r="E18">
        <v>0.17896000000000001</v>
      </c>
    </row>
    <row r="19" spans="1:5" x14ac:dyDescent="0.55000000000000004">
      <c r="A19">
        <v>-14</v>
      </c>
      <c r="B19">
        <v>-0.47639999999999999</v>
      </c>
      <c r="D19">
        <v>-14</v>
      </c>
      <c r="E19">
        <v>0.17146</v>
      </c>
    </row>
    <row r="20" spans="1:5" x14ac:dyDescent="0.55000000000000004">
      <c r="A20">
        <v>-13.5</v>
      </c>
      <c r="B20">
        <v>-0.4657</v>
      </c>
      <c r="D20">
        <v>-13.5</v>
      </c>
      <c r="E20">
        <v>0.16378999999999999</v>
      </c>
    </row>
    <row r="21" spans="1:5" x14ac:dyDescent="0.55000000000000004">
      <c r="A21">
        <v>-13</v>
      </c>
      <c r="B21">
        <v>-0.45550000000000002</v>
      </c>
      <c r="D21">
        <v>-13</v>
      </c>
      <c r="E21">
        <v>0.15573999999999999</v>
      </c>
    </row>
    <row r="22" spans="1:5" x14ac:dyDescent="0.55000000000000004">
      <c r="A22">
        <v>-12.5</v>
      </c>
      <c r="B22">
        <v>-0.4461</v>
      </c>
      <c r="D22">
        <v>-12.5</v>
      </c>
      <c r="E22">
        <v>0.14752000000000001</v>
      </c>
    </row>
    <row r="23" spans="1:5" x14ac:dyDescent="0.55000000000000004">
      <c r="A23">
        <v>-12</v>
      </c>
      <c r="B23">
        <v>-0.43809999999999999</v>
      </c>
      <c r="D23">
        <v>-12</v>
      </c>
      <c r="E23">
        <v>0.13893</v>
      </c>
    </row>
    <row r="24" spans="1:5" x14ac:dyDescent="0.55000000000000004">
      <c r="A24">
        <v>-11.5</v>
      </c>
      <c r="B24">
        <v>-0.44</v>
      </c>
      <c r="D24">
        <v>-11.5</v>
      </c>
      <c r="E24">
        <v>0.12623000000000001</v>
      </c>
    </row>
    <row r="25" spans="1:5" x14ac:dyDescent="0.55000000000000004">
      <c r="A25">
        <v>-10.5</v>
      </c>
      <c r="B25">
        <v>-0.74560000000000004</v>
      </c>
      <c r="D25">
        <v>-10.5</v>
      </c>
      <c r="E25">
        <v>4.7300000000000002E-2</v>
      </c>
    </row>
    <row r="26" spans="1:5" x14ac:dyDescent="0.55000000000000004">
      <c r="A26">
        <v>-10</v>
      </c>
      <c r="B26">
        <v>-0.79759999999999998</v>
      </c>
      <c r="D26">
        <v>-10</v>
      </c>
      <c r="E26">
        <v>3.1140000000000001E-2</v>
      </c>
    </row>
    <row r="27" spans="1:5" x14ac:dyDescent="0.55000000000000004">
      <c r="A27">
        <v>-9.5</v>
      </c>
      <c r="B27">
        <v>-0.77210000000000001</v>
      </c>
      <c r="D27">
        <v>-9.5</v>
      </c>
      <c r="E27">
        <v>2.6239999999999999E-2</v>
      </c>
    </row>
    <row r="28" spans="1:5" x14ac:dyDescent="0.55000000000000004">
      <c r="A28">
        <v>-9</v>
      </c>
      <c r="B28">
        <v>-0.72640000000000005</v>
      </c>
      <c r="D28">
        <v>-9</v>
      </c>
      <c r="E28">
        <v>2.7349999999999999E-2</v>
      </c>
    </row>
    <row r="29" spans="1:5" x14ac:dyDescent="0.55000000000000004">
      <c r="A29">
        <v>-8.5</v>
      </c>
      <c r="B29">
        <v>-0.68769999999999998</v>
      </c>
      <c r="D29">
        <v>-8.5</v>
      </c>
      <c r="E29">
        <v>2.6689999999999998E-2</v>
      </c>
    </row>
    <row r="30" spans="1:5" x14ac:dyDescent="0.55000000000000004">
      <c r="A30">
        <v>-8</v>
      </c>
      <c r="B30">
        <v>-0.64859999999999995</v>
      </c>
      <c r="D30">
        <v>-8</v>
      </c>
      <c r="E30">
        <v>2.768E-2</v>
      </c>
    </row>
    <row r="31" spans="1:5" x14ac:dyDescent="0.55000000000000004">
      <c r="A31">
        <v>-7.5</v>
      </c>
      <c r="B31">
        <v>-0.61219999999999997</v>
      </c>
      <c r="D31">
        <v>-7.5</v>
      </c>
      <c r="E31">
        <v>2.8299999999999999E-2</v>
      </c>
    </row>
    <row r="32" spans="1:5" x14ac:dyDescent="0.55000000000000004">
      <c r="A32">
        <v>-7</v>
      </c>
      <c r="B32">
        <v>-0.5484</v>
      </c>
      <c r="D32">
        <v>-7</v>
      </c>
      <c r="E32">
        <v>3.041E-2</v>
      </c>
    </row>
    <row r="33" spans="1:5" x14ac:dyDescent="0.55000000000000004">
      <c r="A33">
        <v>-6.5</v>
      </c>
      <c r="B33">
        <v>-0.48159999999999997</v>
      </c>
      <c r="D33">
        <v>-6.5</v>
      </c>
      <c r="E33">
        <v>2.477E-2</v>
      </c>
    </row>
    <row r="34" spans="1:5" x14ac:dyDescent="0.55000000000000004">
      <c r="A34">
        <v>-6</v>
      </c>
      <c r="B34">
        <v>-0.40629999999999999</v>
      </c>
      <c r="D34">
        <v>-6</v>
      </c>
      <c r="E34">
        <v>2.581E-2</v>
      </c>
    </row>
    <row r="35" spans="1:5" x14ac:dyDescent="0.55000000000000004">
      <c r="A35">
        <v>-5.5</v>
      </c>
      <c r="B35">
        <v>-0.3301</v>
      </c>
      <c r="D35">
        <v>-5.5</v>
      </c>
      <c r="E35">
        <v>2.4160000000000001E-2</v>
      </c>
    </row>
    <row r="36" spans="1:5" x14ac:dyDescent="0.55000000000000004">
      <c r="A36">
        <v>-5</v>
      </c>
      <c r="B36">
        <v>-0.25030000000000002</v>
      </c>
      <c r="D36">
        <v>-5</v>
      </c>
      <c r="E36">
        <v>2.044E-2</v>
      </c>
    </row>
    <row r="37" spans="1:5" x14ac:dyDescent="0.55000000000000004">
      <c r="A37">
        <v>-4.5</v>
      </c>
      <c r="B37">
        <v>-0.17480000000000001</v>
      </c>
      <c r="D37">
        <v>-4.5</v>
      </c>
      <c r="E37">
        <v>1.8180000000000002E-2</v>
      </c>
    </row>
    <row r="38" spans="1:5" x14ac:dyDescent="0.55000000000000004">
      <c r="A38">
        <v>-4</v>
      </c>
      <c r="B38">
        <v>-9.5000000000000001E-2</v>
      </c>
      <c r="D38">
        <v>-4</v>
      </c>
      <c r="E38">
        <v>1.5650000000000001E-2</v>
      </c>
    </row>
    <row r="39" spans="1:5" x14ac:dyDescent="0.55000000000000004">
      <c r="A39">
        <v>-3.5</v>
      </c>
      <c r="B39">
        <v>-2.5000000000000001E-2</v>
      </c>
      <c r="D39">
        <v>-3.5</v>
      </c>
      <c r="E39">
        <v>1.47E-2</v>
      </c>
    </row>
    <row r="40" spans="1:5" x14ac:dyDescent="0.55000000000000004">
      <c r="A40">
        <v>-3</v>
      </c>
      <c r="B40">
        <v>5.4300000000000001E-2</v>
      </c>
      <c r="D40">
        <v>-3</v>
      </c>
      <c r="E40">
        <v>1.362E-2</v>
      </c>
    </row>
    <row r="41" spans="1:5" x14ac:dyDescent="0.55000000000000004">
      <c r="A41">
        <v>-2.5</v>
      </c>
      <c r="B41">
        <v>0.12139999999999999</v>
      </c>
      <c r="D41">
        <v>-2.5</v>
      </c>
      <c r="E41">
        <v>1.264E-2</v>
      </c>
    </row>
    <row r="42" spans="1:5" x14ac:dyDescent="0.55000000000000004">
      <c r="A42">
        <v>-2</v>
      </c>
      <c r="B42">
        <v>0.18990000000000001</v>
      </c>
      <c r="D42">
        <v>-2</v>
      </c>
      <c r="E42">
        <v>1.17E-2</v>
      </c>
    </row>
    <row r="43" spans="1:5" x14ac:dyDescent="0.55000000000000004">
      <c r="A43">
        <v>-1.5</v>
      </c>
      <c r="B43">
        <v>0.25769999999999998</v>
      </c>
      <c r="D43">
        <v>-1.5</v>
      </c>
      <c r="E43">
        <v>1.043E-2</v>
      </c>
    </row>
    <row r="44" spans="1:5" x14ac:dyDescent="0.55000000000000004">
      <c r="A44">
        <v>-1</v>
      </c>
      <c r="B44">
        <v>0.33169999999999999</v>
      </c>
      <c r="D44">
        <v>-1</v>
      </c>
      <c r="E44">
        <v>9.3900000000000008E-3</v>
      </c>
    </row>
    <row r="45" spans="1:5" x14ac:dyDescent="0.55000000000000004">
      <c r="A45">
        <v>0</v>
      </c>
      <c r="B45">
        <v>0.38279999999999997</v>
      </c>
      <c r="D45">
        <v>0</v>
      </c>
      <c r="E45">
        <v>8.5299999999999994E-3</v>
      </c>
    </row>
    <row r="46" spans="1:5" x14ac:dyDescent="0.55000000000000004">
      <c r="A46">
        <v>0.5</v>
      </c>
      <c r="B46">
        <v>0.43919999999999998</v>
      </c>
      <c r="D46">
        <v>0.5</v>
      </c>
      <c r="E46">
        <v>8.6499999999999997E-3</v>
      </c>
    </row>
    <row r="47" spans="1:5" x14ac:dyDescent="0.55000000000000004">
      <c r="A47">
        <v>1</v>
      </c>
      <c r="B47">
        <v>0.49580000000000002</v>
      </c>
      <c r="D47">
        <v>1</v>
      </c>
      <c r="E47">
        <v>8.8299999999999993E-3</v>
      </c>
    </row>
    <row r="48" spans="1:5" x14ac:dyDescent="0.55000000000000004">
      <c r="A48">
        <v>1.5</v>
      </c>
      <c r="B48">
        <v>0.55259999999999998</v>
      </c>
      <c r="D48">
        <v>1.5</v>
      </c>
      <c r="E48">
        <v>9.0600000000000003E-3</v>
      </c>
    </row>
    <row r="49" spans="1:5" x14ac:dyDescent="0.55000000000000004">
      <c r="A49">
        <v>2</v>
      </c>
      <c r="B49">
        <v>0.60919999999999996</v>
      </c>
      <c r="D49">
        <v>2</v>
      </c>
      <c r="E49">
        <v>9.4299999999999991E-3</v>
      </c>
    </row>
    <row r="50" spans="1:5" x14ac:dyDescent="0.55000000000000004">
      <c r="A50">
        <v>2.5</v>
      </c>
      <c r="B50">
        <v>0.66579999999999995</v>
      </c>
      <c r="D50">
        <v>2.5</v>
      </c>
      <c r="E50">
        <v>9.7900000000000001E-3</v>
      </c>
    </row>
    <row r="51" spans="1:5" x14ac:dyDescent="0.55000000000000004">
      <c r="A51">
        <v>3.5</v>
      </c>
      <c r="B51">
        <v>0.77529999999999999</v>
      </c>
      <c r="D51">
        <v>3.5</v>
      </c>
      <c r="E51">
        <v>1.0659999999999999E-2</v>
      </c>
    </row>
    <row r="52" spans="1:5" x14ac:dyDescent="0.55000000000000004">
      <c r="A52">
        <v>4</v>
      </c>
      <c r="B52">
        <v>0.82830000000000004</v>
      </c>
      <c r="D52">
        <v>4</v>
      </c>
      <c r="E52">
        <v>1.1140000000000001E-2</v>
      </c>
    </row>
    <row r="53" spans="1:5" x14ac:dyDescent="0.55000000000000004">
      <c r="A53">
        <v>4.5</v>
      </c>
      <c r="B53">
        <v>0.87809999999999999</v>
      </c>
      <c r="D53">
        <v>4.5</v>
      </c>
      <c r="E53">
        <v>1.174E-2</v>
      </c>
    </row>
    <row r="54" spans="1:5" x14ac:dyDescent="0.55000000000000004">
      <c r="A54">
        <v>5</v>
      </c>
      <c r="B54">
        <v>0.92559999999999998</v>
      </c>
      <c r="D54">
        <v>5</v>
      </c>
      <c r="E54">
        <v>1.2540000000000001E-2</v>
      </c>
    </row>
    <row r="55" spans="1:5" x14ac:dyDescent="0.55000000000000004">
      <c r="A55">
        <v>5.5</v>
      </c>
      <c r="B55">
        <v>0.96350000000000002</v>
      </c>
      <c r="D55">
        <v>5.5</v>
      </c>
      <c r="E55">
        <v>1.4E-2</v>
      </c>
    </row>
    <row r="56" spans="1:5" x14ac:dyDescent="0.55000000000000004">
      <c r="A56">
        <v>6</v>
      </c>
      <c r="B56">
        <v>0.99460000000000004</v>
      </c>
      <c r="D56">
        <v>6</v>
      </c>
      <c r="E56">
        <v>1.6129999999999999E-2</v>
      </c>
    </row>
    <row r="57" spans="1:5" x14ac:dyDescent="0.55000000000000004">
      <c r="A57">
        <v>6.5</v>
      </c>
      <c r="B57">
        <v>1.0353000000000001</v>
      </c>
      <c r="D57">
        <v>6.5</v>
      </c>
      <c r="E57">
        <v>1.7350000000000001E-2</v>
      </c>
    </row>
    <row r="58" spans="1:5" x14ac:dyDescent="0.55000000000000004">
      <c r="A58">
        <v>7</v>
      </c>
      <c r="B58">
        <v>1.0764</v>
      </c>
      <c r="D58">
        <v>7</v>
      </c>
      <c r="E58">
        <v>1.8370000000000001E-2</v>
      </c>
    </row>
    <row r="59" spans="1:5" x14ac:dyDescent="0.55000000000000004">
      <c r="A59">
        <v>7.5</v>
      </c>
      <c r="B59">
        <v>1.1103000000000001</v>
      </c>
      <c r="D59">
        <v>7.5</v>
      </c>
      <c r="E59">
        <v>1.9779999999999999E-2</v>
      </c>
    </row>
    <row r="60" spans="1:5" x14ac:dyDescent="0.55000000000000004">
      <c r="A60">
        <v>8</v>
      </c>
      <c r="B60">
        <v>1.1516999999999999</v>
      </c>
      <c r="D60">
        <v>8</v>
      </c>
      <c r="E60">
        <v>2.0500000000000001E-2</v>
      </c>
    </row>
    <row r="61" spans="1:5" x14ac:dyDescent="0.55000000000000004">
      <c r="A61">
        <v>8.5</v>
      </c>
      <c r="B61">
        <v>1.1913</v>
      </c>
      <c r="D61">
        <v>8.5</v>
      </c>
      <c r="E61">
        <v>2.128E-2</v>
      </c>
    </row>
    <row r="62" spans="1:5" x14ac:dyDescent="0.55000000000000004">
      <c r="A62">
        <v>9</v>
      </c>
      <c r="B62">
        <v>1.2229000000000001</v>
      </c>
      <c r="D62">
        <v>9</v>
      </c>
      <c r="E62">
        <v>2.248E-2</v>
      </c>
    </row>
    <row r="63" spans="1:5" x14ac:dyDescent="0.55000000000000004">
      <c r="A63">
        <v>9.5</v>
      </c>
      <c r="B63">
        <v>1.2573000000000001</v>
      </c>
      <c r="D63">
        <v>9.5</v>
      </c>
      <c r="E63">
        <v>2.3439999999999999E-2</v>
      </c>
    </row>
    <row r="64" spans="1:5" x14ac:dyDescent="0.55000000000000004">
      <c r="A64">
        <v>10</v>
      </c>
      <c r="B64">
        <v>1.2778</v>
      </c>
      <c r="D64">
        <v>10</v>
      </c>
      <c r="E64">
        <v>2.5489999999999999E-2</v>
      </c>
    </row>
    <row r="65" spans="1:5" x14ac:dyDescent="0.55000000000000004">
      <c r="A65">
        <v>10.5</v>
      </c>
      <c r="B65">
        <v>1.2813000000000001</v>
      </c>
      <c r="D65">
        <v>10.5</v>
      </c>
      <c r="E65">
        <v>2.8920000000000001E-2</v>
      </c>
    </row>
    <row r="66" spans="1:5" x14ac:dyDescent="0.55000000000000004">
      <c r="A66">
        <v>11</v>
      </c>
      <c r="B66">
        <v>1.292</v>
      </c>
      <c r="D66">
        <v>11</v>
      </c>
      <c r="E66">
        <v>3.2149999999999998E-2</v>
      </c>
    </row>
    <row r="67" spans="1:5" x14ac:dyDescent="0.55000000000000004">
      <c r="A67">
        <v>11.5</v>
      </c>
      <c r="B67">
        <v>1.3016000000000001</v>
      </c>
      <c r="D67">
        <v>11.5</v>
      </c>
      <c r="E67">
        <v>3.5909999999999997E-2</v>
      </c>
    </row>
    <row r="68" spans="1:5" x14ac:dyDescent="0.55000000000000004">
      <c r="A68">
        <v>12</v>
      </c>
      <c r="B68">
        <v>1.3101</v>
      </c>
      <c r="D68">
        <v>12</v>
      </c>
      <c r="E68">
        <v>4.0160000000000001E-2</v>
      </c>
    </row>
    <row r="69" spans="1:5" x14ac:dyDescent="0.55000000000000004">
      <c r="A69">
        <v>12.5</v>
      </c>
      <c r="B69">
        <v>1.3165</v>
      </c>
      <c r="D69">
        <v>12.5</v>
      </c>
      <c r="E69">
        <v>4.5069999999999999E-2</v>
      </c>
    </row>
    <row r="70" spans="1:5" x14ac:dyDescent="0.55000000000000004">
      <c r="A70">
        <v>13</v>
      </c>
      <c r="B70">
        <v>1.3133999999999999</v>
      </c>
      <c r="D70">
        <v>13</v>
      </c>
      <c r="E70">
        <v>5.1299999999999998E-2</v>
      </c>
    </row>
    <row r="71" spans="1:5" x14ac:dyDescent="0.55000000000000004">
      <c r="A71">
        <v>13.5</v>
      </c>
      <c r="B71">
        <v>1.2949999999999999</v>
      </c>
      <c r="D71">
        <v>13.5</v>
      </c>
      <c r="E71">
        <v>5.917E-2</v>
      </c>
    </row>
    <row r="72" spans="1:5" x14ac:dyDescent="0.55000000000000004">
      <c r="A72">
        <v>14</v>
      </c>
      <c r="B72">
        <v>1.2606999999999999</v>
      </c>
      <c r="D72">
        <v>14</v>
      </c>
      <c r="E72">
        <v>6.93E-2</v>
      </c>
    </row>
    <row r="73" spans="1:5" x14ac:dyDescent="0.55000000000000004">
      <c r="A73">
        <v>14.5</v>
      </c>
      <c r="B73">
        <v>1.2105999999999999</v>
      </c>
      <c r="D73">
        <v>14.5</v>
      </c>
      <c r="E73">
        <v>8.2430000000000003E-2</v>
      </c>
    </row>
    <row r="74" spans="1:5" x14ac:dyDescent="0.55000000000000004">
      <c r="A74">
        <v>15</v>
      </c>
      <c r="B74">
        <v>1.1565000000000001</v>
      </c>
      <c r="D74">
        <v>15</v>
      </c>
      <c r="E74">
        <v>9.7659999999999997E-2</v>
      </c>
    </row>
    <row r="75" spans="1:5" x14ac:dyDescent="0.55000000000000004">
      <c r="A75">
        <v>15.5</v>
      </c>
      <c r="B75">
        <v>1.1301000000000001</v>
      </c>
      <c r="D75">
        <v>15.5</v>
      </c>
      <c r="E75">
        <v>0.11011</v>
      </c>
    </row>
    <row r="76" spans="1:5" x14ac:dyDescent="0.55000000000000004">
      <c r="A76">
        <v>16</v>
      </c>
      <c r="B76">
        <v>1.0992</v>
      </c>
      <c r="D76">
        <v>16</v>
      </c>
      <c r="E76">
        <v>0.12520999999999999</v>
      </c>
    </row>
    <row r="77" spans="1:5" x14ac:dyDescent="0.55000000000000004">
      <c r="A77">
        <v>16.5</v>
      </c>
      <c r="B77">
        <v>1.0525</v>
      </c>
      <c r="D77">
        <v>16.5</v>
      </c>
      <c r="E77">
        <v>0.14696999999999999</v>
      </c>
    </row>
    <row r="78" spans="1:5" x14ac:dyDescent="0.55000000000000004">
      <c r="A78">
        <v>17</v>
      </c>
      <c r="B78">
        <v>0.91390000000000005</v>
      </c>
      <c r="D78">
        <v>17</v>
      </c>
      <c r="E78">
        <v>0.21054999999999999</v>
      </c>
    </row>
    <row r="79" spans="1:5" x14ac:dyDescent="0.55000000000000004">
      <c r="A79">
        <v>17.5</v>
      </c>
      <c r="B79">
        <v>0.92230000000000001</v>
      </c>
      <c r="D79">
        <v>17.5</v>
      </c>
      <c r="E79">
        <v>0.22036</v>
      </c>
    </row>
    <row r="80" spans="1:5" x14ac:dyDescent="0.55000000000000004">
      <c r="A80">
        <v>18</v>
      </c>
      <c r="B80">
        <v>0.93159999999999998</v>
      </c>
      <c r="C80" s="2"/>
      <c r="D80">
        <v>18</v>
      </c>
      <c r="E80">
        <v>0.22996</v>
      </c>
    </row>
    <row r="81" spans="1:5" x14ac:dyDescent="0.55000000000000004">
      <c r="A81">
        <v>18.5</v>
      </c>
      <c r="B81">
        <v>0.9415</v>
      </c>
      <c r="C81" s="2"/>
      <c r="D81">
        <v>18.5</v>
      </c>
      <c r="E81">
        <v>0.23938999999999999</v>
      </c>
    </row>
    <row r="82" spans="1:5" x14ac:dyDescent="0.55000000000000004">
      <c r="A82">
        <v>19</v>
      </c>
      <c r="B82">
        <v>0.95169999999999999</v>
      </c>
      <c r="C82" s="2"/>
      <c r="D82">
        <v>19</v>
      </c>
      <c r="E82">
        <v>0.24868000000000001</v>
      </c>
    </row>
    <row r="83" spans="1:5" x14ac:dyDescent="0.55000000000000004">
      <c r="A83">
        <v>19.5</v>
      </c>
      <c r="B83">
        <v>0.96220000000000006</v>
      </c>
      <c r="C83" s="2"/>
      <c r="D83">
        <v>19.5</v>
      </c>
      <c r="E83">
        <v>0.25783</v>
      </c>
    </row>
    <row r="84" spans="1:5" x14ac:dyDescent="0.55000000000000004">
      <c r="A84">
        <v>20</v>
      </c>
      <c r="B84">
        <v>0.97270000000000001</v>
      </c>
      <c r="C84" s="2"/>
      <c r="D84">
        <v>20</v>
      </c>
      <c r="E84">
        <v>0.26684000000000002</v>
      </c>
    </row>
    <row r="85" spans="1:5" x14ac:dyDescent="0.55000000000000004">
      <c r="A85">
        <v>20.5</v>
      </c>
      <c r="B85">
        <v>0.98329999999999995</v>
      </c>
      <c r="C85" s="2"/>
      <c r="D85">
        <v>20.5</v>
      </c>
      <c r="E85">
        <v>0.27567999999999998</v>
      </c>
    </row>
    <row r="86" spans="1:5" x14ac:dyDescent="0.55000000000000004">
      <c r="A86">
        <v>21</v>
      </c>
      <c r="B86">
        <v>0.99390000000000001</v>
      </c>
      <c r="C86" s="2"/>
      <c r="D86">
        <v>21</v>
      </c>
      <c r="E86">
        <v>0.28433999999999998</v>
      </c>
    </row>
    <row r="87" spans="1:5" x14ac:dyDescent="0.55000000000000004">
      <c r="A87">
        <v>21.5</v>
      </c>
      <c r="B87">
        <v>1.0044</v>
      </c>
      <c r="C87" s="2"/>
      <c r="D87">
        <v>21.5</v>
      </c>
      <c r="E87">
        <v>0.29282000000000002</v>
      </c>
    </row>
    <row r="88" spans="1:5" x14ac:dyDescent="0.55000000000000004">
      <c r="A88">
        <v>22</v>
      </c>
      <c r="B88">
        <v>1.0137</v>
      </c>
      <c r="C88" s="2"/>
      <c r="D88">
        <v>22</v>
      </c>
      <c r="E88">
        <v>0.30075000000000002</v>
      </c>
    </row>
    <row r="89" spans="1:5" x14ac:dyDescent="0.55000000000000004">
      <c r="A89">
        <v>22.5</v>
      </c>
      <c r="B89">
        <v>1.0225</v>
      </c>
      <c r="C89" s="2"/>
      <c r="D89">
        <v>22.5</v>
      </c>
      <c r="E89">
        <v>0.30803000000000003</v>
      </c>
    </row>
    <row r="90" spans="1:5" x14ac:dyDescent="0.55000000000000004">
      <c r="A90">
        <v>23</v>
      </c>
      <c r="B90">
        <v>1.0329999999999999</v>
      </c>
      <c r="C90" s="2"/>
      <c r="D90">
        <v>23</v>
      </c>
      <c r="E90">
        <v>0.31536999999999998</v>
      </c>
    </row>
    <row r="91" spans="1:5" x14ac:dyDescent="0.55000000000000004">
      <c r="C91" s="2"/>
    </row>
    <row r="92" spans="1:5" x14ac:dyDescent="0.55000000000000004">
      <c r="C92" s="2"/>
    </row>
    <row r="93" spans="1:5" x14ac:dyDescent="0.55000000000000004">
      <c r="C93" s="2"/>
    </row>
    <row r="94" spans="1:5" x14ac:dyDescent="0.55000000000000004">
      <c r="C94" s="2"/>
    </row>
  </sheetData>
  <sortState xmlns:xlrd2="http://schemas.microsoft.com/office/spreadsheetml/2017/richdata2" ref="D2:E92">
    <sortCondition ref="D2:D92"/>
  </sortState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B0D27-AAA9-47A5-AD40-EB7EF5F01DF1}">
  <dimension ref="A1:E14"/>
  <sheetViews>
    <sheetView workbookViewId="0">
      <selection activeCell="B23" sqref="B23"/>
    </sheetView>
  </sheetViews>
  <sheetFormatPr defaultRowHeight="14.4" x14ac:dyDescent="0.55000000000000004"/>
  <sheetData>
    <row r="1" spans="1:5" x14ac:dyDescent="0.55000000000000004">
      <c r="A1" t="s">
        <v>5</v>
      </c>
      <c r="B1" t="s">
        <v>10</v>
      </c>
      <c r="D1" t="s">
        <v>5</v>
      </c>
      <c r="E1" t="s">
        <v>11</v>
      </c>
    </row>
    <row r="2" spans="1:5" x14ac:dyDescent="0.55000000000000004">
      <c r="A2">
        <v>-8</v>
      </c>
      <c r="B2">
        <v>-0.68279400000000001</v>
      </c>
      <c r="D2">
        <v>-8</v>
      </c>
      <c r="E2">
        <v>3.3792799999999998E-2</v>
      </c>
    </row>
    <row r="3" spans="1:5" x14ac:dyDescent="0.55000000000000004">
      <c r="A3">
        <v>-6</v>
      </c>
      <c r="B3">
        <v>-0.48027700000000001</v>
      </c>
      <c r="D3">
        <v>-6</v>
      </c>
      <c r="E3">
        <v>2.4574100000000001E-2</v>
      </c>
    </row>
    <row r="4" spans="1:5" x14ac:dyDescent="0.55000000000000004">
      <c r="A4">
        <v>-4</v>
      </c>
      <c r="B4">
        <v>-0.24590100000000001</v>
      </c>
      <c r="D4">
        <v>-4</v>
      </c>
      <c r="E4">
        <v>2.0953699999999999E-2</v>
      </c>
    </row>
    <row r="5" spans="1:5" x14ac:dyDescent="0.55000000000000004">
      <c r="A5">
        <v>-2</v>
      </c>
      <c r="B5">
        <v>-4.22727E-3</v>
      </c>
      <c r="D5">
        <v>-2</v>
      </c>
      <c r="E5">
        <v>1.9279899999999999E-2</v>
      </c>
    </row>
    <row r="6" spans="1:5" x14ac:dyDescent="0.55000000000000004">
      <c r="A6">
        <v>0</v>
      </c>
      <c r="B6">
        <v>0.24430299999999999</v>
      </c>
      <c r="D6">
        <v>0</v>
      </c>
      <c r="E6">
        <v>1.7968000000000001E-2</v>
      </c>
    </row>
    <row r="7" spans="1:5" x14ac:dyDescent="0.55000000000000004">
      <c r="A7">
        <v>2</v>
      </c>
      <c r="B7">
        <v>0.48596</v>
      </c>
      <c r="D7">
        <v>2</v>
      </c>
      <c r="E7">
        <v>1.8632200000000002E-2</v>
      </c>
    </row>
    <row r="8" spans="1:5" x14ac:dyDescent="0.55000000000000004">
      <c r="A8">
        <v>4</v>
      </c>
      <c r="B8">
        <v>0.71940199999999999</v>
      </c>
      <c r="D8">
        <v>4</v>
      </c>
      <c r="E8">
        <v>2.0487700000000001E-2</v>
      </c>
    </row>
    <row r="9" spans="1:5" x14ac:dyDescent="0.55000000000000004">
      <c r="A9">
        <v>6</v>
      </c>
      <c r="B9">
        <v>0.94145599999999996</v>
      </c>
      <c r="D9">
        <v>6</v>
      </c>
      <c r="E9">
        <v>2.34282E-2</v>
      </c>
    </row>
    <row r="10" spans="1:5" x14ac:dyDescent="0.55000000000000004">
      <c r="A10">
        <v>8</v>
      </c>
      <c r="B10">
        <v>1.1452100000000001</v>
      </c>
      <c r="D10">
        <v>8</v>
      </c>
      <c r="E10">
        <v>2.7779600000000002E-2</v>
      </c>
    </row>
    <row r="11" spans="1:5" x14ac:dyDescent="0.55000000000000004">
      <c r="A11">
        <v>10</v>
      </c>
      <c r="B11">
        <v>1.32209</v>
      </c>
      <c r="D11">
        <v>10</v>
      </c>
      <c r="E11">
        <v>3.4110399999999999E-2</v>
      </c>
    </row>
    <row r="12" spans="1:5" x14ac:dyDescent="0.55000000000000004">
      <c r="A12">
        <v>12</v>
      </c>
      <c r="B12">
        <v>1.45404</v>
      </c>
      <c r="D12">
        <v>12</v>
      </c>
      <c r="E12">
        <v>4.4049499999999998E-2</v>
      </c>
    </row>
    <row r="13" spans="1:5" x14ac:dyDescent="0.55000000000000004">
      <c r="A13">
        <v>14</v>
      </c>
      <c r="B13">
        <v>1.54823</v>
      </c>
      <c r="D13">
        <v>14</v>
      </c>
      <c r="E13">
        <v>6.0589200000000003E-2</v>
      </c>
    </row>
    <row r="14" spans="1:5" x14ac:dyDescent="0.55000000000000004">
      <c r="A14">
        <v>16</v>
      </c>
      <c r="B14">
        <v>1.5601100000000001</v>
      </c>
      <c r="D14">
        <v>16</v>
      </c>
      <c r="E14">
        <v>8.7439699999999995E-2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5966-9295-4692-BED1-B154797C03E8}">
  <dimension ref="A1:C90"/>
  <sheetViews>
    <sheetView workbookViewId="0">
      <selection activeCell="C90" sqref="C2:C90"/>
    </sheetView>
  </sheetViews>
  <sheetFormatPr defaultRowHeight="14.4" x14ac:dyDescent="0.55000000000000004"/>
  <sheetData>
    <row r="1" spans="1:3" x14ac:dyDescent="0.55000000000000004">
      <c r="A1" t="s">
        <v>54</v>
      </c>
      <c r="B1" t="s">
        <v>55</v>
      </c>
      <c r="C1" t="s">
        <v>56</v>
      </c>
    </row>
    <row r="2" spans="1:3" x14ac:dyDescent="0.55000000000000004">
      <c r="A2">
        <v>-22.5</v>
      </c>
      <c r="B2">
        <v>-0.72560000000000002</v>
      </c>
      <c r="C2">
        <v>0.27666000000000002</v>
      </c>
    </row>
    <row r="3" spans="1:3" x14ac:dyDescent="0.55000000000000004">
      <c r="A3">
        <v>-22</v>
      </c>
      <c r="B3">
        <v>-0.70899999999999996</v>
      </c>
      <c r="C3">
        <v>0.26956000000000002</v>
      </c>
    </row>
    <row r="4" spans="1:3" x14ac:dyDescent="0.55000000000000004">
      <c r="A4">
        <v>-21.5</v>
      </c>
      <c r="B4">
        <v>-0.69310000000000005</v>
      </c>
      <c r="C4">
        <v>0.26319999999999999</v>
      </c>
    </row>
    <row r="5" spans="1:3" x14ac:dyDescent="0.55000000000000004">
      <c r="A5">
        <v>-21</v>
      </c>
      <c r="B5">
        <v>-0.67730000000000001</v>
      </c>
      <c r="C5">
        <v>0.25678000000000001</v>
      </c>
    </row>
    <row r="6" spans="1:3" x14ac:dyDescent="0.55000000000000004">
      <c r="A6">
        <v>-20.5</v>
      </c>
      <c r="B6">
        <v>-0.66149999999999998</v>
      </c>
      <c r="C6">
        <v>0.25042999999999999</v>
      </c>
    </row>
    <row r="7" spans="1:3" x14ac:dyDescent="0.55000000000000004">
      <c r="A7">
        <v>-20</v>
      </c>
      <c r="B7">
        <v>-0.64539999999999997</v>
      </c>
      <c r="C7">
        <v>0.24415000000000001</v>
      </c>
    </row>
    <row r="8" spans="1:3" x14ac:dyDescent="0.55000000000000004">
      <c r="A8">
        <v>-19.5</v>
      </c>
      <c r="B8">
        <v>-0.62929999999999997</v>
      </c>
      <c r="C8">
        <v>0.23798</v>
      </c>
    </row>
    <row r="9" spans="1:3" x14ac:dyDescent="0.55000000000000004">
      <c r="A9">
        <v>-19</v>
      </c>
      <c r="B9">
        <v>-0.61299999999999999</v>
      </c>
      <c r="C9">
        <v>0.2319</v>
      </c>
    </row>
    <row r="10" spans="1:3" x14ac:dyDescent="0.55000000000000004">
      <c r="A10">
        <v>-18.5</v>
      </c>
      <c r="B10">
        <v>-0.59670000000000001</v>
      </c>
      <c r="C10">
        <v>0.22592000000000001</v>
      </c>
    </row>
    <row r="11" spans="1:3" x14ac:dyDescent="0.55000000000000004">
      <c r="A11">
        <v>-18</v>
      </c>
      <c r="B11">
        <v>-0.58009999999999995</v>
      </c>
      <c r="C11">
        <v>0.22012000000000001</v>
      </c>
    </row>
    <row r="12" spans="1:3" x14ac:dyDescent="0.55000000000000004">
      <c r="A12">
        <v>-17.5</v>
      </c>
      <c r="B12">
        <v>-0.56320000000000003</v>
      </c>
      <c r="C12">
        <v>0.21539</v>
      </c>
    </row>
    <row r="13" spans="1:3" x14ac:dyDescent="0.55000000000000004">
      <c r="A13">
        <v>-17</v>
      </c>
      <c r="B13">
        <v>-0.54959999999999998</v>
      </c>
      <c r="C13">
        <v>0.21115999999999999</v>
      </c>
    </row>
    <row r="14" spans="1:3" x14ac:dyDescent="0.55000000000000004">
      <c r="A14">
        <v>-16.5</v>
      </c>
      <c r="B14">
        <v>-0.53749999999999998</v>
      </c>
      <c r="C14">
        <v>0.20594999999999999</v>
      </c>
    </row>
    <row r="15" spans="1:3" x14ac:dyDescent="0.55000000000000004">
      <c r="A15">
        <v>-16</v>
      </c>
      <c r="B15">
        <v>-0.52500000000000002</v>
      </c>
      <c r="C15">
        <v>0.19986000000000001</v>
      </c>
    </row>
    <row r="16" spans="1:3" x14ac:dyDescent="0.55000000000000004">
      <c r="A16">
        <v>-15.5</v>
      </c>
      <c r="B16">
        <v>-0.51219999999999999</v>
      </c>
      <c r="C16">
        <v>0.19320999999999999</v>
      </c>
    </row>
    <row r="17" spans="1:3" x14ac:dyDescent="0.55000000000000004">
      <c r="A17">
        <v>-15</v>
      </c>
      <c r="B17">
        <v>-0.49980000000000002</v>
      </c>
      <c r="C17">
        <v>0.18622</v>
      </c>
    </row>
    <row r="18" spans="1:3" x14ac:dyDescent="0.55000000000000004">
      <c r="A18">
        <v>-14.5</v>
      </c>
      <c r="B18">
        <v>-0.4879</v>
      </c>
      <c r="C18">
        <v>0.17896000000000001</v>
      </c>
    </row>
    <row r="19" spans="1:3" x14ac:dyDescent="0.55000000000000004">
      <c r="A19">
        <v>-14</v>
      </c>
      <c r="B19">
        <v>-0.47639999999999999</v>
      </c>
      <c r="C19">
        <v>0.17146</v>
      </c>
    </row>
    <row r="20" spans="1:3" x14ac:dyDescent="0.55000000000000004">
      <c r="A20">
        <v>-13.5</v>
      </c>
      <c r="B20">
        <v>-0.4657</v>
      </c>
      <c r="C20">
        <v>0.16378999999999999</v>
      </c>
    </row>
    <row r="21" spans="1:3" x14ac:dyDescent="0.55000000000000004">
      <c r="A21">
        <v>-13</v>
      </c>
      <c r="B21">
        <v>-0.45550000000000002</v>
      </c>
      <c r="C21">
        <v>0.15573999999999999</v>
      </c>
    </row>
    <row r="22" spans="1:3" x14ac:dyDescent="0.55000000000000004">
      <c r="A22">
        <v>-12.5</v>
      </c>
      <c r="B22">
        <v>-0.4461</v>
      </c>
      <c r="C22">
        <v>0.14752000000000001</v>
      </c>
    </row>
    <row r="23" spans="1:3" x14ac:dyDescent="0.55000000000000004">
      <c r="A23">
        <v>-12</v>
      </c>
      <c r="B23">
        <v>-0.43809999999999999</v>
      </c>
      <c r="C23">
        <v>0.13893</v>
      </c>
    </row>
    <row r="24" spans="1:3" x14ac:dyDescent="0.55000000000000004">
      <c r="A24">
        <v>-11.5</v>
      </c>
      <c r="B24">
        <v>-0.44</v>
      </c>
      <c r="C24">
        <v>0.12623000000000001</v>
      </c>
    </row>
    <row r="25" spans="1:3" x14ac:dyDescent="0.55000000000000004">
      <c r="A25">
        <v>-10.5</v>
      </c>
      <c r="B25">
        <v>-0.74560000000000004</v>
      </c>
      <c r="C25">
        <v>4.7300000000000002E-2</v>
      </c>
    </row>
    <row r="26" spans="1:3" x14ac:dyDescent="0.55000000000000004">
      <c r="A26">
        <v>-10</v>
      </c>
      <c r="B26">
        <v>-0.79759999999999998</v>
      </c>
      <c r="C26">
        <v>3.1140000000000001E-2</v>
      </c>
    </row>
    <row r="27" spans="1:3" x14ac:dyDescent="0.55000000000000004">
      <c r="A27">
        <v>-9.5</v>
      </c>
      <c r="B27">
        <v>-0.77210000000000001</v>
      </c>
      <c r="C27">
        <v>2.6239999999999999E-2</v>
      </c>
    </row>
    <row r="28" spans="1:3" x14ac:dyDescent="0.55000000000000004">
      <c r="A28">
        <v>-9</v>
      </c>
      <c r="B28">
        <v>-0.72640000000000005</v>
      </c>
      <c r="C28">
        <v>2.7349999999999999E-2</v>
      </c>
    </row>
    <row r="29" spans="1:3" x14ac:dyDescent="0.55000000000000004">
      <c r="A29">
        <v>-8.5</v>
      </c>
      <c r="B29">
        <v>-0.68769999999999998</v>
      </c>
      <c r="C29">
        <v>2.6689999999999998E-2</v>
      </c>
    </row>
    <row r="30" spans="1:3" x14ac:dyDescent="0.55000000000000004">
      <c r="A30">
        <v>-8</v>
      </c>
      <c r="B30">
        <v>-0.64859999999999995</v>
      </c>
      <c r="C30">
        <v>2.768E-2</v>
      </c>
    </row>
    <row r="31" spans="1:3" x14ac:dyDescent="0.55000000000000004">
      <c r="A31">
        <v>-7.5</v>
      </c>
      <c r="B31">
        <v>-0.61219999999999997</v>
      </c>
      <c r="C31">
        <v>2.8299999999999999E-2</v>
      </c>
    </row>
    <row r="32" spans="1:3" x14ac:dyDescent="0.55000000000000004">
      <c r="A32">
        <v>-7</v>
      </c>
      <c r="B32">
        <v>-0.5484</v>
      </c>
      <c r="C32">
        <v>3.041E-2</v>
      </c>
    </row>
    <row r="33" spans="1:3" x14ac:dyDescent="0.55000000000000004">
      <c r="A33">
        <v>-6.5</v>
      </c>
      <c r="B33">
        <v>-0.48159999999999997</v>
      </c>
      <c r="C33">
        <v>2.477E-2</v>
      </c>
    </row>
    <row r="34" spans="1:3" x14ac:dyDescent="0.55000000000000004">
      <c r="A34">
        <v>-6</v>
      </c>
      <c r="B34">
        <v>-0.40629999999999999</v>
      </c>
      <c r="C34">
        <v>2.581E-2</v>
      </c>
    </row>
    <row r="35" spans="1:3" x14ac:dyDescent="0.55000000000000004">
      <c r="A35">
        <v>-5.5</v>
      </c>
      <c r="B35">
        <v>-0.3301</v>
      </c>
      <c r="C35">
        <v>2.4160000000000001E-2</v>
      </c>
    </row>
    <row r="36" spans="1:3" x14ac:dyDescent="0.55000000000000004">
      <c r="A36">
        <v>-5</v>
      </c>
      <c r="B36">
        <v>-0.25030000000000002</v>
      </c>
      <c r="C36">
        <v>2.044E-2</v>
      </c>
    </row>
    <row r="37" spans="1:3" x14ac:dyDescent="0.55000000000000004">
      <c r="A37">
        <v>-4.5</v>
      </c>
      <c r="B37">
        <v>-0.17480000000000001</v>
      </c>
      <c r="C37">
        <v>1.8180000000000002E-2</v>
      </c>
    </row>
    <row r="38" spans="1:3" x14ac:dyDescent="0.55000000000000004">
      <c r="A38">
        <v>-4</v>
      </c>
      <c r="B38">
        <v>-9.5000000000000001E-2</v>
      </c>
      <c r="C38">
        <v>1.5650000000000001E-2</v>
      </c>
    </row>
    <row r="39" spans="1:3" x14ac:dyDescent="0.55000000000000004">
      <c r="A39">
        <v>-3.5</v>
      </c>
      <c r="B39">
        <v>-2.5000000000000001E-2</v>
      </c>
      <c r="C39">
        <v>1.47E-2</v>
      </c>
    </row>
    <row r="40" spans="1:3" x14ac:dyDescent="0.55000000000000004">
      <c r="A40">
        <v>-3</v>
      </c>
      <c r="B40">
        <v>5.4300000000000001E-2</v>
      </c>
      <c r="C40">
        <v>1.362E-2</v>
      </c>
    </row>
    <row r="41" spans="1:3" x14ac:dyDescent="0.55000000000000004">
      <c r="A41">
        <v>-2.5</v>
      </c>
      <c r="B41">
        <v>0.12139999999999999</v>
      </c>
      <c r="C41">
        <v>1.264E-2</v>
      </c>
    </row>
    <row r="42" spans="1:3" x14ac:dyDescent="0.55000000000000004">
      <c r="A42">
        <v>-2</v>
      </c>
      <c r="B42">
        <v>0.18990000000000001</v>
      </c>
      <c r="C42">
        <v>1.17E-2</v>
      </c>
    </row>
    <row r="43" spans="1:3" x14ac:dyDescent="0.55000000000000004">
      <c r="A43">
        <v>-1.5</v>
      </c>
      <c r="B43">
        <v>0.25769999999999998</v>
      </c>
      <c r="C43">
        <v>1.043E-2</v>
      </c>
    </row>
    <row r="44" spans="1:3" x14ac:dyDescent="0.55000000000000004">
      <c r="A44">
        <v>-1</v>
      </c>
      <c r="B44">
        <v>0.33169999999999999</v>
      </c>
      <c r="C44">
        <v>9.3900000000000008E-3</v>
      </c>
    </row>
    <row r="45" spans="1:3" x14ac:dyDescent="0.55000000000000004">
      <c r="A45">
        <v>0</v>
      </c>
      <c r="B45">
        <v>0.38279999999999997</v>
      </c>
      <c r="C45">
        <v>8.5299999999999994E-3</v>
      </c>
    </row>
    <row r="46" spans="1:3" x14ac:dyDescent="0.55000000000000004">
      <c r="A46">
        <v>0.5</v>
      </c>
      <c r="B46">
        <v>0.43919999999999998</v>
      </c>
      <c r="C46">
        <v>8.6499999999999997E-3</v>
      </c>
    </row>
    <row r="47" spans="1:3" x14ac:dyDescent="0.55000000000000004">
      <c r="A47">
        <v>1</v>
      </c>
      <c r="B47">
        <v>0.49580000000000002</v>
      </c>
      <c r="C47">
        <v>8.8299999999999993E-3</v>
      </c>
    </row>
    <row r="48" spans="1:3" x14ac:dyDescent="0.55000000000000004">
      <c r="A48">
        <v>1.5</v>
      </c>
      <c r="B48">
        <v>0.55259999999999998</v>
      </c>
      <c r="C48">
        <v>9.0600000000000003E-3</v>
      </c>
    </row>
    <row r="49" spans="1:3" x14ac:dyDescent="0.55000000000000004">
      <c r="A49">
        <v>2</v>
      </c>
      <c r="B49">
        <v>0.60919999999999996</v>
      </c>
      <c r="C49">
        <v>9.4299999999999991E-3</v>
      </c>
    </row>
    <row r="50" spans="1:3" x14ac:dyDescent="0.55000000000000004">
      <c r="A50">
        <v>2.5</v>
      </c>
      <c r="B50">
        <v>0.66579999999999995</v>
      </c>
      <c r="C50">
        <v>9.7900000000000001E-3</v>
      </c>
    </row>
    <row r="51" spans="1:3" x14ac:dyDescent="0.55000000000000004">
      <c r="A51">
        <v>3.5</v>
      </c>
      <c r="B51">
        <v>0.77529999999999999</v>
      </c>
      <c r="C51">
        <v>1.0659999999999999E-2</v>
      </c>
    </row>
    <row r="52" spans="1:3" x14ac:dyDescent="0.55000000000000004">
      <c r="A52">
        <v>4</v>
      </c>
      <c r="B52">
        <v>0.82830000000000004</v>
      </c>
      <c r="C52">
        <v>1.1140000000000001E-2</v>
      </c>
    </row>
    <row r="53" spans="1:3" x14ac:dyDescent="0.55000000000000004">
      <c r="A53">
        <v>4.5</v>
      </c>
      <c r="B53">
        <v>0.87809999999999999</v>
      </c>
      <c r="C53">
        <v>1.174E-2</v>
      </c>
    </row>
    <row r="54" spans="1:3" x14ac:dyDescent="0.55000000000000004">
      <c r="A54">
        <v>5</v>
      </c>
      <c r="B54">
        <v>0.92559999999999998</v>
      </c>
      <c r="C54">
        <v>1.2540000000000001E-2</v>
      </c>
    </row>
    <row r="55" spans="1:3" x14ac:dyDescent="0.55000000000000004">
      <c r="A55">
        <v>5.5</v>
      </c>
      <c r="B55">
        <v>0.96350000000000002</v>
      </c>
      <c r="C55">
        <v>1.4E-2</v>
      </c>
    </row>
    <row r="56" spans="1:3" x14ac:dyDescent="0.55000000000000004">
      <c r="A56">
        <v>6</v>
      </c>
      <c r="B56">
        <v>0.99460000000000004</v>
      </c>
      <c r="C56">
        <v>1.6129999999999999E-2</v>
      </c>
    </row>
    <row r="57" spans="1:3" x14ac:dyDescent="0.55000000000000004">
      <c r="A57">
        <v>6.5</v>
      </c>
      <c r="B57">
        <v>1.0353000000000001</v>
      </c>
      <c r="C57">
        <v>1.7350000000000001E-2</v>
      </c>
    </row>
    <row r="58" spans="1:3" x14ac:dyDescent="0.55000000000000004">
      <c r="A58">
        <v>7</v>
      </c>
      <c r="B58">
        <v>1.0764</v>
      </c>
      <c r="C58">
        <v>1.8370000000000001E-2</v>
      </c>
    </row>
    <row r="59" spans="1:3" x14ac:dyDescent="0.55000000000000004">
      <c r="A59">
        <v>7.5</v>
      </c>
      <c r="B59">
        <v>1.1103000000000001</v>
      </c>
      <c r="C59">
        <v>1.9779999999999999E-2</v>
      </c>
    </row>
    <row r="60" spans="1:3" x14ac:dyDescent="0.55000000000000004">
      <c r="A60">
        <v>8</v>
      </c>
      <c r="B60">
        <v>1.1516999999999999</v>
      </c>
      <c r="C60">
        <v>2.0500000000000001E-2</v>
      </c>
    </row>
    <row r="61" spans="1:3" x14ac:dyDescent="0.55000000000000004">
      <c r="A61">
        <v>8.5</v>
      </c>
      <c r="B61">
        <v>1.1913</v>
      </c>
      <c r="C61">
        <v>2.128E-2</v>
      </c>
    </row>
    <row r="62" spans="1:3" x14ac:dyDescent="0.55000000000000004">
      <c r="A62">
        <v>9</v>
      </c>
      <c r="B62">
        <v>1.2229000000000001</v>
      </c>
      <c r="C62">
        <v>2.248E-2</v>
      </c>
    </row>
    <row r="63" spans="1:3" x14ac:dyDescent="0.55000000000000004">
      <c r="A63">
        <v>9.5</v>
      </c>
      <c r="B63">
        <v>1.2573000000000001</v>
      </c>
      <c r="C63">
        <v>2.3439999999999999E-2</v>
      </c>
    </row>
    <row r="64" spans="1:3" x14ac:dyDescent="0.55000000000000004">
      <c r="A64">
        <v>10</v>
      </c>
      <c r="B64">
        <v>1.2778</v>
      </c>
      <c r="C64">
        <v>2.5489999999999999E-2</v>
      </c>
    </row>
    <row r="65" spans="1:3" x14ac:dyDescent="0.55000000000000004">
      <c r="A65">
        <v>10.5</v>
      </c>
      <c r="B65">
        <v>1.2813000000000001</v>
      </c>
      <c r="C65">
        <v>2.8920000000000001E-2</v>
      </c>
    </row>
    <row r="66" spans="1:3" x14ac:dyDescent="0.55000000000000004">
      <c r="A66">
        <v>11</v>
      </c>
      <c r="B66">
        <v>1.292</v>
      </c>
      <c r="C66">
        <v>3.2149999999999998E-2</v>
      </c>
    </row>
    <row r="67" spans="1:3" x14ac:dyDescent="0.55000000000000004">
      <c r="A67">
        <v>11.5</v>
      </c>
      <c r="B67">
        <v>1.3016000000000001</v>
      </c>
      <c r="C67">
        <v>3.5909999999999997E-2</v>
      </c>
    </row>
    <row r="68" spans="1:3" x14ac:dyDescent="0.55000000000000004">
      <c r="A68">
        <v>12</v>
      </c>
      <c r="B68">
        <v>1.3101</v>
      </c>
      <c r="C68">
        <v>4.0160000000000001E-2</v>
      </c>
    </row>
    <row r="69" spans="1:3" x14ac:dyDescent="0.55000000000000004">
      <c r="A69">
        <v>12.5</v>
      </c>
      <c r="B69">
        <v>1.3165</v>
      </c>
      <c r="C69">
        <v>4.5069999999999999E-2</v>
      </c>
    </row>
    <row r="70" spans="1:3" x14ac:dyDescent="0.55000000000000004">
      <c r="A70">
        <v>13</v>
      </c>
      <c r="B70">
        <v>1.3133999999999999</v>
      </c>
      <c r="C70">
        <v>5.1299999999999998E-2</v>
      </c>
    </row>
    <row r="71" spans="1:3" x14ac:dyDescent="0.55000000000000004">
      <c r="A71">
        <v>13.5</v>
      </c>
      <c r="B71">
        <v>1.2949999999999999</v>
      </c>
      <c r="C71">
        <v>5.917E-2</v>
      </c>
    </row>
    <row r="72" spans="1:3" x14ac:dyDescent="0.55000000000000004">
      <c r="A72">
        <v>14</v>
      </c>
      <c r="B72">
        <v>1.2606999999999999</v>
      </c>
      <c r="C72">
        <v>6.93E-2</v>
      </c>
    </row>
    <row r="73" spans="1:3" x14ac:dyDescent="0.55000000000000004">
      <c r="A73">
        <v>14.5</v>
      </c>
      <c r="B73">
        <v>1.2105999999999999</v>
      </c>
      <c r="C73">
        <v>8.2430000000000003E-2</v>
      </c>
    </row>
    <row r="74" spans="1:3" x14ac:dyDescent="0.55000000000000004">
      <c r="A74">
        <v>15</v>
      </c>
      <c r="B74">
        <v>1.1565000000000001</v>
      </c>
      <c r="C74">
        <v>9.7659999999999997E-2</v>
      </c>
    </row>
    <row r="75" spans="1:3" x14ac:dyDescent="0.55000000000000004">
      <c r="A75">
        <v>15.5</v>
      </c>
      <c r="B75">
        <v>1.1301000000000001</v>
      </c>
      <c r="C75">
        <v>0.11011</v>
      </c>
    </row>
    <row r="76" spans="1:3" x14ac:dyDescent="0.55000000000000004">
      <c r="A76">
        <v>16</v>
      </c>
      <c r="B76">
        <v>1.0992</v>
      </c>
      <c r="C76">
        <v>0.12520999999999999</v>
      </c>
    </row>
    <row r="77" spans="1:3" x14ac:dyDescent="0.55000000000000004">
      <c r="A77">
        <v>16.5</v>
      </c>
      <c r="B77">
        <v>1.0525</v>
      </c>
      <c r="C77">
        <v>0.14696999999999999</v>
      </c>
    </row>
    <row r="78" spans="1:3" x14ac:dyDescent="0.55000000000000004">
      <c r="A78">
        <v>17</v>
      </c>
      <c r="B78">
        <v>0.91390000000000005</v>
      </c>
      <c r="C78">
        <v>0.21054999999999999</v>
      </c>
    </row>
    <row r="79" spans="1:3" x14ac:dyDescent="0.55000000000000004">
      <c r="A79">
        <v>17.5</v>
      </c>
      <c r="B79">
        <v>0.92230000000000001</v>
      </c>
      <c r="C79">
        <v>0.22036</v>
      </c>
    </row>
    <row r="80" spans="1:3" x14ac:dyDescent="0.55000000000000004">
      <c r="A80">
        <v>18</v>
      </c>
      <c r="B80">
        <v>0.93159999999999998</v>
      </c>
      <c r="C80">
        <v>0.22996</v>
      </c>
    </row>
    <row r="81" spans="1:3" x14ac:dyDescent="0.55000000000000004">
      <c r="A81">
        <v>18.5</v>
      </c>
      <c r="B81">
        <v>0.9415</v>
      </c>
      <c r="C81">
        <v>0.23938999999999999</v>
      </c>
    </row>
    <row r="82" spans="1:3" x14ac:dyDescent="0.55000000000000004">
      <c r="A82">
        <v>19</v>
      </c>
      <c r="B82">
        <v>0.95169999999999999</v>
      </c>
      <c r="C82">
        <v>0.24868000000000001</v>
      </c>
    </row>
    <row r="83" spans="1:3" x14ac:dyDescent="0.55000000000000004">
      <c r="A83">
        <v>19.5</v>
      </c>
      <c r="B83">
        <v>0.96220000000000006</v>
      </c>
      <c r="C83">
        <v>0.25783</v>
      </c>
    </row>
    <row r="84" spans="1:3" x14ac:dyDescent="0.55000000000000004">
      <c r="A84">
        <v>20</v>
      </c>
      <c r="B84">
        <v>0.97270000000000001</v>
      </c>
      <c r="C84">
        <v>0.26684000000000002</v>
      </c>
    </row>
    <row r="85" spans="1:3" x14ac:dyDescent="0.55000000000000004">
      <c r="A85">
        <v>20.5</v>
      </c>
      <c r="B85">
        <v>0.98329999999999995</v>
      </c>
      <c r="C85">
        <v>0.27567999999999998</v>
      </c>
    </row>
    <row r="86" spans="1:3" x14ac:dyDescent="0.55000000000000004">
      <c r="A86">
        <v>21</v>
      </c>
      <c r="B86">
        <v>0.99390000000000001</v>
      </c>
      <c r="C86">
        <v>0.28433999999999998</v>
      </c>
    </row>
    <row r="87" spans="1:3" x14ac:dyDescent="0.55000000000000004">
      <c r="A87">
        <v>21.5</v>
      </c>
      <c r="B87">
        <v>1.0044</v>
      </c>
      <c r="C87">
        <v>0.29282000000000002</v>
      </c>
    </row>
    <row r="88" spans="1:3" x14ac:dyDescent="0.55000000000000004">
      <c r="A88">
        <v>22</v>
      </c>
      <c r="B88">
        <v>1.0137</v>
      </c>
      <c r="C88">
        <v>0.30075000000000002</v>
      </c>
    </row>
    <row r="89" spans="1:3" x14ac:dyDescent="0.55000000000000004">
      <c r="A89">
        <v>22.5</v>
      </c>
      <c r="B89">
        <v>1.0225</v>
      </c>
      <c r="C89">
        <v>0.30803000000000003</v>
      </c>
    </row>
    <row r="90" spans="1:3" x14ac:dyDescent="0.55000000000000004">
      <c r="A90">
        <v>23</v>
      </c>
      <c r="B90">
        <v>1.0329999999999999</v>
      </c>
      <c r="C90">
        <v>0.31536999999999998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55013-04A0-4125-8349-83A5EFF9C0BF}">
  <dimension ref="A1:E146"/>
  <sheetViews>
    <sheetView workbookViewId="0">
      <selection sqref="A1:O155"/>
    </sheetView>
  </sheetViews>
  <sheetFormatPr defaultRowHeight="14.4" x14ac:dyDescent="0.55000000000000004"/>
  <sheetData>
    <row r="1" spans="1:5" x14ac:dyDescent="0.55000000000000004">
      <c r="A1" t="s">
        <v>5</v>
      </c>
      <c r="B1" t="s">
        <v>10</v>
      </c>
      <c r="D1" t="s">
        <v>5</v>
      </c>
      <c r="E1" t="s">
        <v>11</v>
      </c>
    </row>
    <row r="2" spans="1:5" x14ac:dyDescent="0.55000000000000004">
      <c r="A2">
        <v>0.15482052299304699</v>
      </c>
      <c r="B2">
        <v>1.7422844388204701E-2</v>
      </c>
      <c r="D2">
        <v>0.27063488725489099</v>
      </c>
      <c r="E2">
        <v>-7.3552673204568798E-4</v>
      </c>
    </row>
    <row r="3" spans="1:5" x14ac:dyDescent="0.55000000000000004">
      <c r="A3">
        <v>0.32392924285089297</v>
      </c>
      <c r="B3">
        <v>4.12848064372517E-2</v>
      </c>
      <c r="D3">
        <v>0.83258358888646899</v>
      </c>
      <c r="E3">
        <v>-7.3552673204568798E-4</v>
      </c>
    </row>
    <row r="4" spans="1:5" x14ac:dyDescent="0.55000000000000004">
      <c r="A4">
        <v>0.49856321839080397</v>
      </c>
      <c r="B4">
        <v>5.9187097964780798E-2</v>
      </c>
      <c r="D4">
        <v>1.39453229051804</v>
      </c>
      <c r="E4">
        <v>-7.3552673204568798E-4</v>
      </c>
    </row>
    <row r="5" spans="1:5" x14ac:dyDescent="0.55000000000000004">
      <c r="A5">
        <v>0.64251486332808605</v>
      </c>
      <c r="B5">
        <v>7.6507390417942703E-2</v>
      </c>
      <c r="D5">
        <v>1.95648099214962</v>
      </c>
      <c r="E5">
        <v>-7.3552673204568798E-4</v>
      </c>
    </row>
    <row r="6" spans="1:5" x14ac:dyDescent="0.55000000000000004">
      <c r="A6">
        <v>0.72512924964397196</v>
      </c>
      <c r="B6">
        <v>9.3185155893003399E-2</v>
      </c>
      <c r="D6">
        <v>2.5184296937811999</v>
      </c>
      <c r="E6">
        <v>-7.3552673204568798E-4</v>
      </c>
    </row>
    <row r="7" spans="1:5" x14ac:dyDescent="0.55000000000000004">
      <c r="A7">
        <v>0.906539982035933</v>
      </c>
      <c r="B7">
        <v>0.110426296472051</v>
      </c>
      <c r="D7">
        <v>3.0803783954127799</v>
      </c>
      <c r="E7">
        <v>-7.3552673204568798E-4</v>
      </c>
    </row>
    <row r="8" spans="1:5" x14ac:dyDescent="0.55000000000000004">
      <c r="A8">
        <v>1.09508740981115</v>
      </c>
      <c r="B8">
        <v>0.13385591635156799</v>
      </c>
      <c r="D8">
        <v>3.6423270970443502</v>
      </c>
      <c r="E8">
        <v>-7.3552673204568798E-4</v>
      </c>
    </row>
    <row r="9" spans="1:5" x14ac:dyDescent="0.55000000000000004">
      <c r="A9">
        <v>1.2290133440966</v>
      </c>
      <c r="B9">
        <v>0.15482118586476601</v>
      </c>
      <c r="D9">
        <v>4.2042757986759298</v>
      </c>
      <c r="E9">
        <v>-7.3552673204568798E-4</v>
      </c>
    </row>
    <row r="10" spans="1:5" x14ac:dyDescent="0.55000000000000004">
      <c r="A10">
        <v>1.4137703723751001</v>
      </c>
      <c r="B10">
        <v>0.17093092024324499</v>
      </c>
      <c r="D10">
        <v>4.7662362887567298</v>
      </c>
      <c r="E10">
        <v>-5.1119254338050004E-4</v>
      </c>
    </row>
    <row r="11" spans="1:5" x14ac:dyDescent="0.55000000000000004">
      <c r="A11">
        <v>1.58719097967739</v>
      </c>
      <c r="B11">
        <v>0.19351913574667701</v>
      </c>
      <c r="D11">
        <v>5.3281571874420397</v>
      </c>
      <c r="E11">
        <v>-1.0402826109867599E-3</v>
      </c>
    </row>
    <row r="12" spans="1:5" x14ac:dyDescent="0.55000000000000004">
      <c r="A12">
        <v>1.70195992138451</v>
      </c>
      <c r="B12">
        <v>0.211019016485644</v>
      </c>
      <c r="D12">
        <v>5.8900585128531597</v>
      </c>
      <c r="E12">
        <v>-1.9418520861882399E-3</v>
      </c>
    </row>
    <row r="13" spans="1:5" x14ac:dyDescent="0.55000000000000004">
      <c r="A13">
        <v>1.8764899139053499</v>
      </c>
      <c r="B13">
        <v>0.22694251116032499</v>
      </c>
      <c r="D13">
        <v>6.4519254738226897</v>
      </c>
      <c r="E13">
        <v>-3.4973768849511002E-3</v>
      </c>
    </row>
    <row r="14" spans="1:5" x14ac:dyDescent="0.55000000000000004">
      <c r="A14">
        <v>2.0410375365957498</v>
      </c>
      <c r="B14">
        <v>0.24733575872614499</v>
      </c>
      <c r="D14">
        <v>7.0138002196171803</v>
      </c>
      <c r="E14">
        <v>-4.9047564647839402E-3</v>
      </c>
    </row>
    <row r="15" spans="1:5" x14ac:dyDescent="0.55000000000000004">
      <c r="A15">
        <v>2.1850222114332101</v>
      </c>
      <c r="B15">
        <v>0.26528461017962301</v>
      </c>
      <c r="C15" s="3"/>
      <c r="D15">
        <v>7.5756593957617504</v>
      </c>
      <c r="E15">
        <v>-6.6084264824763901E-3</v>
      </c>
    </row>
    <row r="16" spans="1:5" x14ac:dyDescent="0.55000000000000004">
      <c r="A16">
        <v>2.3291357436590001</v>
      </c>
      <c r="B16">
        <v>0.28568561773310103</v>
      </c>
      <c r="C16" s="3"/>
      <c r="D16">
        <v>8.1375510457475695</v>
      </c>
      <c r="E16">
        <v>-7.69411930120478E-3</v>
      </c>
    </row>
    <row r="17" spans="1:5" x14ac:dyDescent="0.55000000000000004">
      <c r="A17">
        <v>2.4935422756647001</v>
      </c>
      <c r="B17">
        <v>0.303393909569174</v>
      </c>
      <c r="C17" s="3"/>
      <c r="D17">
        <v>8.6995024164619998</v>
      </c>
      <c r="E17">
        <v>-7.64332665471445E-3</v>
      </c>
    </row>
    <row r="18" spans="1:5" x14ac:dyDescent="0.55000000000000004">
      <c r="A18">
        <v>2.5760631995963901</v>
      </c>
      <c r="B18">
        <v>0.31829308587297001</v>
      </c>
      <c r="C18" s="3"/>
      <c r="D18">
        <v>9.2615455368991206</v>
      </c>
      <c r="E18">
        <v>-5.84653678512347E-3</v>
      </c>
    </row>
    <row r="19" spans="1:5" x14ac:dyDescent="0.55000000000000004">
      <c r="A19">
        <v>2.7405068392677201</v>
      </c>
      <c r="B19">
        <v>0.33670753658594199</v>
      </c>
      <c r="D19">
        <v>9.8237027606277607</v>
      </c>
      <c r="E19">
        <v>-1.87836127807616E-3</v>
      </c>
    </row>
    <row r="20" spans="1:5" x14ac:dyDescent="0.55000000000000004">
      <c r="A20">
        <v>2.89478705632246</v>
      </c>
      <c r="B20">
        <v>0.35614630566979899</v>
      </c>
      <c r="D20">
        <v>10.3859984430288</v>
      </c>
      <c r="E20">
        <v>4.7246827656519602E-3</v>
      </c>
    </row>
    <row r="21" spans="1:5" x14ac:dyDescent="0.55000000000000004">
      <c r="A21">
        <v>3.0489541153858699</v>
      </c>
      <c r="B21">
        <v>0.37343167817849898</v>
      </c>
      <c r="D21">
        <v>10.9484298038077</v>
      </c>
      <c r="E21">
        <v>1.3909686339298E-2</v>
      </c>
    </row>
    <row r="22" spans="1:5" x14ac:dyDescent="0.55000000000000004">
      <c r="A22">
        <v>3.2032496240610602</v>
      </c>
      <c r="B22">
        <v>0.39316144679954101</v>
      </c>
      <c r="D22">
        <v>11.511008186566499</v>
      </c>
      <c r="E22">
        <v>2.5892518190447002E-2</v>
      </c>
    </row>
    <row r="23" spans="1:5" x14ac:dyDescent="0.55000000000000004">
      <c r="A23">
        <v>3.35744828580673</v>
      </c>
      <c r="B23">
        <v>0.41104821835175298</v>
      </c>
      <c r="D23">
        <v>12.073773627547901</v>
      </c>
      <c r="E23">
        <v>4.1435068016452303E-2</v>
      </c>
    </row>
    <row r="24" spans="1:5" x14ac:dyDescent="0.55000000000000004">
      <c r="A24">
        <v>3.57998621878951</v>
      </c>
      <c r="B24">
        <v>0.43320298311598998</v>
      </c>
      <c r="D24">
        <v>12.610972346586999</v>
      </c>
      <c r="E24">
        <v>5.6528526193072297E-2</v>
      </c>
    </row>
    <row r="25" spans="1:5" x14ac:dyDescent="0.55000000000000004">
      <c r="A25">
        <v>3.7172723483163201</v>
      </c>
      <c r="B25">
        <v>0.45330135115079701</v>
      </c>
      <c r="D25">
        <v>13.1226593267904</v>
      </c>
      <c r="E25">
        <v>7.2219221238006601E-2</v>
      </c>
    </row>
    <row r="26" spans="1:5" x14ac:dyDescent="0.55000000000000004">
      <c r="A26">
        <v>3.8815589940176798</v>
      </c>
      <c r="B26">
        <v>0.46872820661535203</v>
      </c>
      <c r="D26">
        <v>13.6343600082857</v>
      </c>
      <c r="E26">
        <v>8.8170651868257399E-2</v>
      </c>
    </row>
    <row r="27" spans="1:5" x14ac:dyDescent="0.55000000000000004">
      <c r="A27">
        <v>4.0341962793711597</v>
      </c>
      <c r="B27">
        <v>0.48930769388496897</v>
      </c>
      <c r="D27">
        <v>14.1460316793926</v>
      </c>
      <c r="E27">
        <v>0.103570014805108</v>
      </c>
    </row>
    <row r="28" spans="1:5" x14ac:dyDescent="0.55000000000000004">
      <c r="A28">
        <v>4.1713192982798297</v>
      </c>
      <c r="B28">
        <v>0.50630206685648604</v>
      </c>
      <c r="D28">
        <v>14.6577647266949</v>
      </c>
      <c r="E28">
        <v>0.120137366741489</v>
      </c>
    </row>
    <row r="29" spans="1:5" x14ac:dyDescent="0.55000000000000004">
      <c r="A29">
        <v>4.3646038079287202</v>
      </c>
      <c r="B29">
        <v>0.52266122940969295</v>
      </c>
      <c r="D29">
        <v>15.1183249166561</v>
      </c>
      <c r="E29">
        <v>0.135056497299263</v>
      </c>
    </row>
    <row r="30" spans="1:5" x14ac:dyDescent="0.55000000000000004">
      <c r="A30">
        <v>4.4881168186056097</v>
      </c>
      <c r="B30">
        <v>0.53990281341660795</v>
      </c>
      <c r="D30">
        <v>15.553332410775999</v>
      </c>
      <c r="E30">
        <v>0.14979345290867899</v>
      </c>
    </row>
    <row r="31" spans="1:5" x14ac:dyDescent="0.55000000000000004">
      <c r="A31">
        <v>4.7192211173650698</v>
      </c>
      <c r="B31">
        <v>0.56304697660726899</v>
      </c>
      <c r="D31">
        <v>15.9883441088779</v>
      </c>
      <c r="E31">
        <v>0.16461041029561899</v>
      </c>
    </row>
    <row r="32" spans="1:5" x14ac:dyDescent="0.55000000000000004">
      <c r="A32">
        <v>4.9245661717540496</v>
      </c>
      <c r="B32">
        <v>0.58207834633906996</v>
      </c>
      <c r="D32">
        <v>16.448966251747098</v>
      </c>
      <c r="E32">
        <v>0.18070850469260999</v>
      </c>
    </row>
    <row r="33" spans="1:5" x14ac:dyDescent="0.55000000000000004">
      <c r="A33">
        <v>5.0825460871510701</v>
      </c>
      <c r="B33">
        <v>0.60248157103187805</v>
      </c>
      <c r="D33">
        <v>16.935174499007399</v>
      </c>
      <c r="E33">
        <v>0.197624538741101</v>
      </c>
    </row>
    <row r="34" spans="1:5" x14ac:dyDescent="0.55000000000000004">
      <c r="A34">
        <v>5.2295789499188903</v>
      </c>
      <c r="B34">
        <v>0.62288479572468702</v>
      </c>
      <c r="D34">
        <v>17.370220411503201</v>
      </c>
      <c r="E34">
        <v>0.21309259604488801</v>
      </c>
    </row>
    <row r="35" spans="1:5" x14ac:dyDescent="0.55000000000000004">
      <c r="A35">
        <v>5.4025981303391699</v>
      </c>
      <c r="B35">
        <v>0.63783385766342804</v>
      </c>
      <c r="D35">
        <v>17.779638170079</v>
      </c>
      <c r="E35">
        <v>0.22694251116032499</v>
      </c>
    </row>
    <row r="36" spans="1:5" x14ac:dyDescent="0.55000000000000004">
      <c r="A36">
        <v>5.5962431727079602</v>
      </c>
      <c r="B36">
        <v>0.65642457095320905</v>
      </c>
      <c r="D36">
        <v>18.2146702084633</v>
      </c>
      <c r="E36">
        <v>0.242146544122122</v>
      </c>
    </row>
    <row r="37" spans="1:5" x14ac:dyDescent="0.55000000000000004">
      <c r="A37">
        <v>5.7109004418954399</v>
      </c>
      <c r="B37">
        <v>0.67179932364348705</v>
      </c>
      <c r="D37">
        <v>18.675221213743299</v>
      </c>
      <c r="E37">
        <v>0.256890890195974</v>
      </c>
    </row>
    <row r="38" spans="1:5" x14ac:dyDescent="0.55000000000000004">
      <c r="A38">
        <v>5.9177079868643601</v>
      </c>
      <c r="B38">
        <v>0.68625618065076299</v>
      </c>
      <c r="D38">
        <v>19.13580509358</v>
      </c>
      <c r="E38">
        <v>0.27226083908436899</v>
      </c>
    </row>
    <row r="39" spans="1:5" x14ac:dyDescent="0.55000000000000004">
      <c r="A39">
        <v>6.0548738223102898</v>
      </c>
      <c r="B39">
        <v>0.704065352326393</v>
      </c>
      <c r="D39">
        <v>19.621930274816201</v>
      </c>
      <c r="E39">
        <v>0.28759612669455697</v>
      </c>
    </row>
    <row r="40" spans="1:5" x14ac:dyDescent="0.55000000000000004">
      <c r="A40">
        <v>6.2052586082809897</v>
      </c>
      <c r="B40">
        <v>0.71881487172535097</v>
      </c>
      <c r="D40">
        <v>20.1335971924136</v>
      </c>
      <c r="E40">
        <v>0.30290503034670602</v>
      </c>
    </row>
    <row r="41" spans="1:5" x14ac:dyDescent="0.55000000000000004">
      <c r="A41">
        <v>6.41783485152955</v>
      </c>
      <c r="B41">
        <v>0.73657415776603596</v>
      </c>
      <c r="D41">
        <v>20.6707706886198</v>
      </c>
      <c r="E41">
        <v>0.31751849801399401</v>
      </c>
    </row>
    <row r="42" spans="1:5" x14ac:dyDescent="0.55000000000000004">
      <c r="A42">
        <v>6.6707759483793101</v>
      </c>
      <c r="B42">
        <v>0.75862776554830003</v>
      </c>
      <c r="D42">
        <v>21.233428699016802</v>
      </c>
      <c r="E42">
        <v>0.331016643818767</v>
      </c>
    </row>
    <row r="43" spans="1:5" x14ac:dyDescent="0.55000000000000004">
      <c r="A43">
        <v>6.8213431415368202</v>
      </c>
      <c r="B43">
        <v>0.77684849371223197</v>
      </c>
      <c r="D43">
        <v>21.796048674983201</v>
      </c>
      <c r="E43">
        <v>0.34379099441105598</v>
      </c>
    </row>
    <row r="44" spans="1:5" x14ac:dyDescent="0.55000000000000004">
      <c r="A44">
        <v>7.03030717635726</v>
      </c>
      <c r="B44">
        <v>0.79530825721027998</v>
      </c>
      <c r="D44">
        <v>22.358623276541302</v>
      </c>
      <c r="E44">
        <v>0.35570187001301001</v>
      </c>
    </row>
    <row r="45" spans="1:5" x14ac:dyDescent="0.55000000000000004">
      <c r="A45">
        <v>7.2525380026293096</v>
      </c>
      <c r="B45">
        <v>0.811618781269415</v>
      </c>
      <c r="D45">
        <v>22.921204105959401</v>
      </c>
      <c r="E45">
        <v>0.36773126179010801</v>
      </c>
    </row>
    <row r="46" spans="1:5" x14ac:dyDescent="0.55000000000000004">
      <c r="A46">
        <v>7.4066775367759101</v>
      </c>
      <c r="B46">
        <v>0.82838035461118498</v>
      </c>
      <c r="D46">
        <v>23.4837871596132</v>
      </c>
      <c r="E46">
        <v>0.37980298077261498</v>
      </c>
    </row>
    <row r="47" spans="1:5" x14ac:dyDescent="0.55000000000000004">
      <c r="A47">
        <v>7.5437495836163997</v>
      </c>
      <c r="B47">
        <v>0.84440472912542297</v>
      </c>
      <c r="D47">
        <v>24.046413141016</v>
      </c>
      <c r="E47">
        <v>0.39269161481950599</v>
      </c>
    </row>
    <row r="48" spans="1:5" x14ac:dyDescent="0.55000000000000004">
      <c r="A48">
        <v>7.8183253378975497</v>
      </c>
      <c r="B48">
        <v>0.86152104476014002</v>
      </c>
      <c r="D48">
        <v>24.609136321518999</v>
      </c>
      <c r="E48">
        <v>0.40742994774274899</v>
      </c>
    </row>
    <row r="49" spans="1:5" x14ac:dyDescent="0.55000000000000004">
      <c r="A49">
        <v>8.0311145958462404</v>
      </c>
      <c r="B49">
        <v>0.88333400054419298</v>
      </c>
      <c r="D49">
        <v>25.120781955652099</v>
      </c>
      <c r="E49">
        <v>0.42233382706936701</v>
      </c>
    </row>
    <row r="50" spans="1:5" x14ac:dyDescent="0.55000000000000004">
      <c r="A50">
        <v>8.2260111238506592</v>
      </c>
      <c r="B50">
        <v>0.897964163942504</v>
      </c>
      <c r="D50">
        <v>25.6068745419498</v>
      </c>
      <c r="E50">
        <v>0.437048832999408</v>
      </c>
    </row>
    <row r="51" spans="1:5" x14ac:dyDescent="0.55000000000000004">
      <c r="A51">
        <v>8.4195988444879308</v>
      </c>
      <c r="B51">
        <v>0.91546404468147002</v>
      </c>
      <c r="D51">
        <v>26.067415700397099</v>
      </c>
      <c r="E51">
        <v>0.45160579384747501</v>
      </c>
    </row>
    <row r="52" spans="1:5" x14ac:dyDescent="0.55000000000000004">
      <c r="A52">
        <v>8.58837289630962</v>
      </c>
      <c r="B52">
        <v>0.93295727400244399</v>
      </c>
      <c r="D52">
        <v>26.502431029652001</v>
      </c>
      <c r="E52">
        <v>0.46649185207689498</v>
      </c>
    </row>
    <row r="53" spans="1:5" x14ac:dyDescent="0.55000000000000004">
      <c r="A53">
        <v>8.8604090765200496</v>
      </c>
      <c r="B53">
        <v>0.94803936430103997</v>
      </c>
      <c r="D53">
        <v>26.963054716246699</v>
      </c>
      <c r="E53">
        <v>0.48261932357002202</v>
      </c>
    </row>
    <row r="54" spans="1:5" x14ac:dyDescent="0.55000000000000004">
      <c r="A54">
        <v>8.9869839356415806</v>
      </c>
      <c r="B54">
        <v>0.96683793440309496</v>
      </c>
      <c r="D54">
        <v>27.398118769944301</v>
      </c>
      <c r="E54">
        <v>0.49843260794379501</v>
      </c>
    </row>
    <row r="55" spans="1:5" x14ac:dyDescent="0.55000000000000004">
      <c r="A55">
        <v>9.2779253646673592</v>
      </c>
      <c r="B55">
        <v>0.98638146332033805</v>
      </c>
      <c r="D55">
        <v>27.807608486516902</v>
      </c>
      <c r="E55">
        <v>0.51365188373849202</v>
      </c>
    </row>
    <row r="56" spans="1:5" x14ac:dyDescent="0.55000000000000004">
      <c r="A56">
        <v>9.49707263567546</v>
      </c>
      <c r="B56">
        <v>1.0041939607049599</v>
      </c>
      <c r="D56">
        <v>28.217120758229601</v>
      </c>
      <c r="E56">
        <v>0.52930038385053502</v>
      </c>
    </row>
    <row r="57" spans="1:5" x14ac:dyDescent="0.55000000000000004">
      <c r="A57">
        <v>9.7435322699711904</v>
      </c>
      <c r="B57">
        <v>1.02442674281171</v>
      </c>
      <c r="D57">
        <v>28.626611130157301</v>
      </c>
      <c r="E57">
        <v>0.54453213105396803</v>
      </c>
    </row>
    <row r="58" spans="1:5" x14ac:dyDescent="0.55000000000000004">
      <c r="A58">
        <v>9.98074047389402</v>
      </c>
      <c r="B58">
        <v>1.0422068145336201</v>
      </c>
      <c r="D58">
        <v>29.010548026232399</v>
      </c>
      <c r="E58">
        <v>0.55956685969319697</v>
      </c>
    </row>
    <row r="59" spans="1:5" x14ac:dyDescent="0.55000000000000004">
      <c r="A59">
        <v>10.156875474897401</v>
      </c>
      <c r="B59">
        <v>1.0608972990932899</v>
      </c>
      <c r="D59">
        <v>29.420066512549798</v>
      </c>
      <c r="E59">
        <v>0.57533362373279395</v>
      </c>
    </row>
    <row r="60" spans="1:5" x14ac:dyDescent="0.55000000000000004">
      <c r="A60">
        <v>10.3692000617636</v>
      </c>
      <c r="B60">
        <v>1.0738675641791799</v>
      </c>
      <c r="D60">
        <v>29.855209912766899</v>
      </c>
      <c r="E60">
        <v>0.59265687237173104</v>
      </c>
    </row>
    <row r="61" spans="1:5" x14ac:dyDescent="0.55000000000000004">
      <c r="A61">
        <v>10.570844107099999</v>
      </c>
      <c r="B61">
        <v>1.09190953548456</v>
      </c>
      <c r="D61">
        <v>30.239140413927998</v>
      </c>
      <c r="E61">
        <v>0.60756990579634396</v>
      </c>
    </row>
    <row r="62" spans="1:5" x14ac:dyDescent="0.55000000000000004">
      <c r="A62">
        <v>10.7943647815571</v>
      </c>
      <c r="B62">
        <v>1.1096189358902999</v>
      </c>
      <c r="D62">
        <v>30.5719602417293</v>
      </c>
      <c r="E62">
        <v>0.62201807900790795</v>
      </c>
    </row>
    <row r="63" spans="1:5" x14ac:dyDescent="0.55000000000000004">
      <c r="A63">
        <v>11.0069713167776</v>
      </c>
      <c r="B63">
        <v>1.12795467815702</v>
      </c>
      <c r="D63">
        <v>30.904752071648399</v>
      </c>
      <c r="E63">
        <v>0.635933452522638</v>
      </c>
    </row>
    <row r="64" spans="1:5" x14ac:dyDescent="0.55000000000000004">
      <c r="A64">
        <v>11.1865642628857</v>
      </c>
      <c r="B64">
        <v>1.1430090542139799</v>
      </c>
      <c r="D64">
        <v>31.263166933314999</v>
      </c>
      <c r="E64">
        <v>0.65136949327870697</v>
      </c>
    </row>
    <row r="65" spans="1:5" x14ac:dyDescent="0.55000000000000004">
      <c r="A65">
        <v>11.357663223553899</v>
      </c>
      <c r="B65">
        <v>1.15845142965385</v>
      </c>
      <c r="D65">
        <v>31.621563436715</v>
      </c>
      <c r="E65">
        <v>0.66645617622305997</v>
      </c>
    </row>
    <row r="66" spans="1:5" x14ac:dyDescent="0.55000000000000004">
      <c r="A66">
        <v>11.609793500433501</v>
      </c>
      <c r="B66">
        <v>1.17664860071239</v>
      </c>
      <c r="D66">
        <v>31.980049459549701</v>
      </c>
      <c r="E66">
        <v>0.68324641400903596</v>
      </c>
    </row>
    <row r="67" spans="1:5" x14ac:dyDescent="0.55000000000000004">
      <c r="A67">
        <v>11.857031041306699</v>
      </c>
      <c r="B67">
        <v>1.1943247440281699</v>
      </c>
      <c r="D67">
        <v>32.338499897639402</v>
      </c>
      <c r="E67">
        <v>0.699359474096511</v>
      </c>
    </row>
    <row r="68" spans="1:5" x14ac:dyDescent="0.55000000000000004">
      <c r="A68">
        <v>12.0160184560398</v>
      </c>
      <c r="B68">
        <v>1.2107537464703</v>
      </c>
      <c r="D68">
        <v>32.671380707452101</v>
      </c>
      <c r="E68">
        <v>0.71496813498620204</v>
      </c>
    </row>
    <row r="69" spans="1:5" x14ac:dyDescent="0.55000000000000004">
      <c r="A69">
        <v>12.2190621215509</v>
      </c>
      <c r="B69">
        <v>1.2264968214319301</v>
      </c>
      <c r="D69">
        <v>33.004226897868399</v>
      </c>
      <c r="E69">
        <v>0.72991798876041802</v>
      </c>
    </row>
    <row r="70" spans="1:5" x14ac:dyDescent="0.55000000000000004">
      <c r="A70">
        <v>12.428800633256801</v>
      </c>
      <c r="B70">
        <v>1.2423346790999501</v>
      </c>
      <c r="D70">
        <v>33.362683515020997</v>
      </c>
      <c r="E70">
        <v>0.74614863641597895</v>
      </c>
    </row>
    <row r="71" spans="1:5" x14ac:dyDescent="0.55000000000000004">
      <c r="A71">
        <v>12.648481101224901</v>
      </c>
      <c r="B71">
        <v>1.2564057538636499</v>
      </c>
      <c r="D71">
        <v>33.721119576906901</v>
      </c>
      <c r="E71">
        <v>0.761988117346728</v>
      </c>
    </row>
    <row r="72" spans="1:5" x14ac:dyDescent="0.55000000000000004">
      <c r="A72">
        <v>12.956064444477899</v>
      </c>
      <c r="B72">
        <v>1.27668925303259</v>
      </c>
      <c r="D72">
        <v>34.079566228500099</v>
      </c>
      <c r="E72">
        <v>0.77802912040594796</v>
      </c>
    </row>
    <row r="73" spans="1:5" x14ac:dyDescent="0.55000000000000004">
      <c r="A73">
        <v>13.3913737126593</v>
      </c>
      <c r="B73">
        <v>1.29716896903231</v>
      </c>
      <c r="D73">
        <v>34.4379971931792</v>
      </c>
      <c r="E73">
        <v>0.79377160149096904</v>
      </c>
    </row>
    <row r="74" spans="1:5" x14ac:dyDescent="0.55000000000000004">
      <c r="A74">
        <v>13.974090881522599</v>
      </c>
      <c r="B74">
        <v>1.3035243989244001</v>
      </c>
      <c r="D74">
        <v>34.796383219218598</v>
      </c>
      <c r="E74">
        <v>0.80865890026263398</v>
      </c>
    </row>
    <row r="75" spans="1:5" x14ac:dyDescent="0.55000000000000004">
      <c r="A75">
        <v>14.1955147689835</v>
      </c>
      <c r="B75">
        <v>1.28827602317599</v>
      </c>
      <c r="D75">
        <v>35.180348337695598</v>
      </c>
      <c r="E75">
        <v>0.82423070121094799</v>
      </c>
    </row>
    <row r="76" spans="1:5" x14ac:dyDescent="0.55000000000000004">
      <c r="A76">
        <v>14.3352336933799</v>
      </c>
      <c r="B76">
        <v>1.27365620642789</v>
      </c>
      <c r="D76">
        <v>35.589870865716598</v>
      </c>
      <c r="E76">
        <v>0.84007437886971603</v>
      </c>
    </row>
    <row r="77" spans="1:5" x14ac:dyDescent="0.55000000000000004">
      <c r="A77">
        <v>14.3597688799419</v>
      </c>
      <c r="B77">
        <v>1.2544751797912499</v>
      </c>
      <c r="D77">
        <v>35.999391493207703</v>
      </c>
      <c r="E77">
        <v>0.85588188944314803</v>
      </c>
    </row>
    <row r="78" spans="1:5" x14ac:dyDescent="0.55000000000000004">
      <c r="A78">
        <v>14.2825791391836</v>
      </c>
      <c r="B78">
        <v>1.24381129389435</v>
      </c>
      <c r="D78">
        <v>36.408876949971699</v>
      </c>
      <c r="E78">
        <v>0.87102010108105898</v>
      </c>
    </row>
    <row r="79" spans="1:5" x14ac:dyDescent="0.55000000000000004">
      <c r="A79">
        <v>14.4345625548466</v>
      </c>
      <c r="B79">
        <v>1.2195419324932399</v>
      </c>
      <c r="D79">
        <v>36.818325335478697</v>
      </c>
      <c r="E79">
        <v>0.88545284669811097</v>
      </c>
    </row>
    <row r="80" spans="1:5" x14ac:dyDescent="0.55000000000000004">
      <c r="A80">
        <v>14.4589719132175</v>
      </c>
      <c r="B80">
        <v>1.1979663953792099</v>
      </c>
      <c r="C80" s="2"/>
      <c r="D80">
        <v>37.227788007728201</v>
      </c>
      <c r="E80">
        <v>0.900157469025618</v>
      </c>
    </row>
    <row r="81" spans="1:5" x14ac:dyDescent="0.55000000000000004">
      <c r="A81">
        <v>14.517284716503401</v>
      </c>
      <c r="B81">
        <v>1.17345924578486</v>
      </c>
      <c r="C81" s="2"/>
      <c r="D81">
        <v>37.637226082314001</v>
      </c>
      <c r="E81">
        <v>0.91439399781188402</v>
      </c>
    </row>
    <row r="82" spans="1:5" x14ac:dyDescent="0.55000000000000004">
      <c r="A82">
        <v>14.5505250293751</v>
      </c>
      <c r="B82">
        <v>1.1579082305177799</v>
      </c>
      <c r="C82" s="2"/>
      <c r="D82">
        <v>38.072265514075397</v>
      </c>
      <c r="E82">
        <v>0.92973872674038904</v>
      </c>
    </row>
    <row r="83" spans="1:5" x14ac:dyDescent="0.55000000000000004">
      <c r="A83">
        <v>14.515611201561301</v>
      </c>
      <c r="B83">
        <v>1.1416122564355</v>
      </c>
      <c r="C83" s="2"/>
      <c r="D83">
        <v>38.507277430629102</v>
      </c>
      <c r="E83">
        <v>0.94455984126357495</v>
      </c>
    </row>
    <row r="84" spans="1:5" x14ac:dyDescent="0.55000000000000004">
      <c r="A84">
        <v>14.463494300740001</v>
      </c>
      <c r="B84">
        <v>1.1219988876293301</v>
      </c>
      <c r="C84" s="2"/>
      <c r="D84">
        <v>38.8911295284273</v>
      </c>
      <c r="E84">
        <v>0.95798085869379901</v>
      </c>
    </row>
    <row r="85" spans="1:5" x14ac:dyDescent="0.55000000000000004">
      <c r="A85">
        <v>14.547452025329299</v>
      </c>
      <c r="B85">
        <v>1.09942896352538</v>
      </c>
      <c r="C85" s="2"/>
      <c r="D85">
        <v>39.300586024387798</v>
      </c>
      <c r="E85">
        <v>0.97256794624225096</v>
      </c>
    </row>
    <row r="86" spans="1:5" x14ac:dyDescent="0.55000000000000004">
      <c r="A86">
        <v>14.503879470351199</v>
      </c>
      <c r="B86">
        <v>1.0803859538120899</v>
      </c>
      <c r="C86" s="2"/>
      <c r="D86">
        <v>39.7356104412344</v>
      </c>
      <c r="E86">
        <v>0.98762694133948403</v>
      </c>
    </row>
    <row r="87" spans="1:5" x14ac:dyDescent="0.55000000000000004">
      <c r="A87">
        <v>14.503072072791401</v>
      </c>
      <c r="B87">
        <v>1.0650211782487999</v>
      </c>
      <c r="C87" s="2"/>
      <c r="D87">
        <v>40.017067395591603</v>
      </c>
      <c r="E87">
        <v>0.99681088673299501</v>
      </c>
    </row>
    <row r="88" spans="1:5" x14ac:dyDescent="0.55000000000000004">
      <c r="A88">
        <v>14.502264675231601</v>
      </c>
      <c r="B88">
        <v>1.04965640268551</v>
      </c>
      <c r="C88" s="2"/>
      <c r="D88">
        <v>22</v>
      </c>
      <c r="E88">
        <v>0.30075000000000002</v>
      </c>
    </row>
    <row r="89" spans="1:5" x14ac:dyDescent="0.55000000000000004">
      <c r="A89">
        <v>14.501585727283601</v>
      </c>
      <c r="B89">
        <v>1.0367360232345699</v>
      </c>
      <c r="C89" s="2"/>
      <c r="D89">
        <v>22.5</v>
      </c>
      <c r="E89">
        <v>0.30803000000000003</v>
      </c>
    </row>
    <row r="90" spans="1:5" x14ac:dyDescent="0.55000000000000004">
      <c r="A90">
        <v>14.5421024048307</v>
      </c>
      <c r="B90">
        <v>0.99762568543710906</v>
      </c>
      <c r="C90" s="2"/>
      <c r="D90">
        <v>23</v>
      </c>
      <c r="E90">
        <v>0.31536999999999998</v>
      </c>
    </row>
    <row r="91" spans="1:5" x14ac:dyDescent="0.55000000000000004">
      <c r="A91">
        <v>14.5576111662921</v>
      </c>
      <c r="B91">
        <v>0.96870033144106904</v>
      </c>
      <c r="C91" s="2"/>
    </row>
    <row r="92" spans="1:5" x14ac:dyDescent="0.55000000000000004">
      <c r="A92">
        <v>14.5902685625922</v>
      </c>
      <c r="B92">
        <v>0.94205641381654803</v>
      </c>
      <c r="C92" s="2"/>
    </row>
    <row r="93" spans="1:5" x14ac:dyDescent="0.55000000000000004">
      <c r="A93">
        <v>14.606374920580899</v>
      </c>
      <c r="B93">
        <v>0.92450332173363903</v>
      </c>
      <c r="C93" s="2"/>
    </row>
    <row r="94" spans="1:5" x14ac:dyDescent="0.55000000000000004">
      <c r="A94">
        <v>14.6217329066647</v>
      </c>
      <c r="B94">
        <v>0.89270871230096904</v>
      </c>
      <c r="C94" s="2"/>
    </row>
    <row r="95" spans="1:5" x14ac:dyDescent="0.55000000000000004">
      <c r="A95">
        <v>14.6719731178801</v>
      </c>
      <c r="B95">
        <v>0.87660867790706398</v>
      </c>
    </row>
    <row r="96" spans="1:5" x14ac:dyDescent="0.55000000000000004">
      <c r="A96">
        <v>14.7626443298777</v>
      </c>
      <c r="B96">
        <v>0.85217358534097298</v>
      </c>
    </row>
    <row r="97" spans="1:2" x14ac:dyDescent="0.55000000000000004">
      <c r="A97">
        <v>14.8482299421264</v>
      </c>
      <c r="B97">
        <v>0.82817665493515602</v>
      </c>
    </row>
    <row r="98" spans="1:2" x14ac:dyDescent="0.55000000000000004">
      <c r="A98">
        <v>15.004015073085201</v>
      </c>
      <c r="B98">
        <v>0.80681313176964198</v>
      </c>
    </row>
    <row r="99" spans="1:2" x14ac:dyDescent="0.55000000000000004">
      <c r="A99">
        <v>15.163552112347601</v>
      </c>
      <c r="B99">
        <v>0.78740761977574802</v>
      </c>
    </row>
    <row r="100" spans="1:2" x14ac:dyDescent="0.55000000000000004">
      <c r="A100">
        <v>15.412465964344999</v>
      </c>
      <c r="B100">
        <v>0.77448724032479999</v>
      </c>
    </row>
    <row r="101" spans="1:2" x14ac:dyDescent="0.55000000000000004">
      <c r="A101">
        <v>15.757708243424901</v>
      </c>
      <c r="B101">
        <v>0.75798756656649602</v>
      </c>
    </row>
    <row r="102" spans="1:2" x14ac:dyDescent="0.55000000000000004">
      <c r="A102">
        <v>16.276900045113301</v>
      </c>
      <c r="B102">
        <v>0.74096409364126103</v>
      </c>
    </row>
    <row r="103" spans="1:2" x14ac:dyDescent="0.55000000000000004">
      <c r="A103">
        <v>16.860787124885299</v>
      </c>
      <c r="B103">
        <v>0.72637531684379497</v>
      </c>
    </row>
    <row r="104" spans="1:2" x14ac:dyDescent="0.55000000000000004">
      <c r="A104">
        <v>17.405270757079101</v>
      </c>
      <c r="B104">
        <v>0.718072130049492</v>
      </c>
    </row>
    <row r="105" spans="1:2" x14ac:dyDescent="0.55000000000000004">
      <c r="A105">
        <v>18.015742319005199</v>
      </c>
      <c r="B105">
        <v>0.70979804320890805</v>
      </c>
    </row>
    <row r="106" spans="1:2" x14ac:dyDescent="0.55000000000000004">
      <c r="A106">
        <v>18.545548173463398</v>
      </c>
      <c r="B106">
        <v>0.70572669513867703</v>
      </c>
    </row>
    <row r="107" spans="1:2" x14ac:dyDescent="0.55000000000000004">
      <c r="A107">
        <v>19.107294886690301</v>
      </c>
      <c r="B107">
        <v>0.70188285579751697</v>
      </c>
    </row>
    <row r="108" spans="1:2" x14ac:dyDescent="0.55000000000000004">
      <c r="A108">
        <v>19.686181096854199</v>
      </c>
      <c r="B108">
        <v>0.700146558558989</v>
      </c>
    </row>
    <row r="109" spans="1:2" x14ac:dyDescent="0.55000000000000004">
      <c r="A109">
        <v>20.2026423248507</v>
      </c>
      <c r="B109">
        <v>0.69867216090392603</v>
      </c>
    </row>
    <row r="110" spans="1:2" x14ac:dyDescent="0.55000000000000004">
      <c r="A110">
        <v>20.756633558468501</v>
      </c>
      <c r="B110">
        <v>0.70155444203412398</v>
      </c>
    </row>
    <row r="111" spans="1:2" x14ac:dyDescent="0.55000000000000004">
      <c r="A111">
        <v>21.4271373863014</v>
      </c>
      <c r="B111">
        <v>0.71191069984886002</v>
      </c>
    </row>
    <row r="112" spans="1:2" x14ac:dyDescent="0.55000000000000004">
      <c r="A112">
        <v>21.980433885193499</v>
      </c>
      <c r="B112">
        <v>0.72008972684063099</v>
      </c>
    </row>
    <row r="113" spans="1:2" x14ac:dyDescent="0.55000000000000004">
      <c r="A113">
        <v>22.531754447229201</v>
      </c>
      <c r="B113">
        <v>0.73387428673533595</v>
      </c>
    </row>
    <row r="114" spans="1:2" x14ac:dyDescent="0.55000000000000004">
      <c r="A114">
        <v>23.0489491169484</v>
      </c>
      <c r="B114">
        <v>0.746357285063729</v>
      </c>
    </row>
    <row r="115" spans="1:2" x14ac:dyDescent="0.55000000000000004">
      <c r="A115">
        <v>23.537784163624298</v>
      </c>
      <c r="B115">
        <v>0.75925179788914898</v>
      </c>
    </row>
    <row r="116" spans="1:2" x14ac:dyDescent="0.55000000000000004">
      <c r="A116">
        <v>24.045953391496401</v>
      </c>
      <c r="B116">
        <v>0.77281108299062296</v>
      </c>
    </row>
    <row r="117" spans="1:2" x14ac:dyDescent="0.55000000000000004">
      <c r="A117">
        <v>24.532563201564201</v>
      </c>
      <c r="B117">
        <v>0.78656695444610703</v>
      </c>
    </row>
    <row r="118" spans="1:2" x14ac:dyDescent="0.55000000000000004">
      <c r="A118">
        <v>25.0691620800694</v>
      </c>
      <c r="B118">
        <v>0.80104735008261296</v>
      </c>
    </row>
    <row r="119" spans="1:2" x14ac:dyDescent="0.55000000000000004">
      <c r="A119">
        <v>25.615746058566099</v>
      </c>
      <c r="B119">
        <v>0.814196205741612</v>
      </c>
    </row>
    <row r="120" spans="1:2" x14ac:dyDescent="0.55000000000000004">
      <c r="A120">
        <v>26.144787629890502</v>
      </c>
      <c r="B120">
        <v>0.830300951556596</v>
      </c>
    </row>
    <row r="121" spans="1:2" x14ac:dyDescent="0.55000000000000004">
      <c r="A121">
        <v>26.6756056506078</v>
      </c>
      <c r="B121">
        <v>0.84549112739757504</v>
      </c>
    </row>
    <row r="122" spans="1:2" x14ac:dyDescent="0.55000000000000004">
      <c r="A122">
        <v>27.238401229982902</v>
      </c>
      <c r="B122">
        <v>0.86160721085686398</v>
      </c>
    </row>
    <row r="123" spans="1:2" x14ac:dyDescent="0.55000000000000004">
      <c r="A123">
        <v>27.7501539363513</v>
      </c>
      <c r="B123">
        <v>0.87854867482162002</v>
      </c>
    </row>
    <row r="124" spans="1:2" x14ac:dyDescent="0.55000000000000004">
      <c r="A124">
        <v>28.1594957611089</v>
      </c>
      <c r="B124">
        <v>0.89095356937812897</v>
      </c>
    </row>
    <row r="125" spans="1:2" x14ac:dyDescent="0.55000000000000004">
      <c r="A125">
        <v>28.603007706933401</v>
      </c>
      <c r="B125">
        <v>0.90550169862119401</v>
      </c>
    </row>
    <row r="126" spans="1:2" x14ac:dyDescent="0.55000000000000004">
      <c r="A126">
        <v>29.106124311557402</v>
      </c>
      <c r="B126">
        <v>0.92012668869439895</v>
      </c>
    </row>
    <row r="127" spans="1:2" x14ac:dyDescent="0.55000000000000004">
      <c r="A127">
        <v>29.669033571619298</v>
      </c>
      <c r="B127">
        <v>0.93840611562211795</v>
      </c>
    </row>
    <row r="128" spans="1:2" x14ac:dyDescent="0.55000000000000004">
      <c r="A128">
        <v>30.135970909068799</v>
      </c>
      <c r="B128">
        <v>0.95316095615547003</v>
      </c>
    </row>
    <row r="129" spans="1:2" x14ac:dyDescent="0.55000000000000004">
      <c r="A129">
        <v>30.641252535297699</v>
      </c>
      <c r="B129">
        <v>0.96847917179280996</v>
      </c>
    </row>
    <row r="130" spans="1:2" x14ac:dyDescent="0.55000000000000004">
      <c r="A130">
        <v>31.158010216842701</v>
      </c>
      <c r="B130">
        <v>0.98344818798552902</v>
      </c>
    </row>
    <row r="131" spans="1:2" x14ac:dyDescent="0.55000000000000004">
      <c r="A131">
        <v>31.6960267848781</v>
      </c>
      <c r="B131">
        <v>1.0033034097403699</v>
      </c>
    </row>
    <row r="132" spans="1:2" x14ac:dyDescent="0.55000000000000004">
      <c r="A132">
        <v>32.253203635948402</v>
      </c>
      <c r="B132">
        <v>1.0205141217617599</v>
      </c>
    </row>
    <row r="133" spans="1:2" x14ac:dyDescent="0.55000000000000004">
      <c r="A133">
        <v>32.816129800201502</v>
      </c>
      <c r="B133">
        <v>1.0391152354505799</v>
      </c>
    </row>
    <row r="134" spans="1:2" x14ac:dyDescent="0.55000000000000004">
      <c r="A134">
        <v>33.339113441226203</v>
      </c>
      <c r="B134">
        <v>1.0537433295188501</v>
      </c>
    </row>
    <row r="135" spans="1:2" x14ac:dyDescent="0.55000000000000004">
      <c r="A135">
        <v>33.8035877811567</v>
      </c>
      <c r="B135">
        <v>1.0675354142500699</v>
      </c>
    </row>
    <row r="136" spans="1:2" x14ac:dyDescent="0.55000000000000004">
      <c r="A136">
        <v>34.306160955571301</v>
      </c>
      <c r="B136">
        <v>1.0799203545525999</v>
      </c>
    </row>
    <row r="137" spans="1:2" x14ac:dyDescent="0.55000000000000004">
      <c r="A137">
        <v>34.692137766817602</v>
      </c>
      <c r="B137">
        <v>1.0932675333247499</v>
      </c>
    </row>
    <row r="138" spans="1:2" x14ac:dyDescent="0.55000000000000004">
      <c r="A138">
        <v>35.169351243735001</v>
      </c>
      <c r="B138">
        <v>1.1010416300514401</v>
      </c>
    </row>
    <row r="139" spans="1:2" x14ac:dyDescent="0.55000000000000004">
      <c r="A139">
        <v>35.787969133793197</v>
      </c>
      <c r="B139">
        <v>1.11006790660481</v>
      </c>
    </row>
    <row r="140" spans="1:2" x14ac:dyDescent="0.55000000000000004">
      <c r="A140">
        <v>36.370822092246101</v>
      </c>
      <c r="B140">
        <v>1.1190074123870899</v>
      </c>
    </row>
    <row r="141" spans="1:2" x14ac:dyDescent="0.55000000000000004">
      <c r="A141">
        <v>36.984136570302397</v>
      </c>
      <c r="B141">
        <v>1.1243268839267999</v>
      </c>
    </row>
    <row r="142" spans="1:2" x14ac:dyDescent="0.55000000000000004">
      <c r="A142">
        <v>37.623040657686303</v>
      </c>
      <c r="B142">
        <v>1.13053099405955</v>
      </c>
    </row>
    <row r="143" spans="1:2" x14ac:dyDescent="0.55000000000000004">
      <c r="A143">
        <v>38.185190207801803</v>
      </c>
      <c r="B143">
        <v>1.1343531407079399</v>
      </c>
    </row>
    <row r="144" spans="1:2" x14ac:dyDescent="0.55000000000000004">
      <c r="A144">
        <v>38.667056732849701</v>
      </c>
      <c r="B144">
        <v>1.1380870048993399</v>
      </c>
    </row>
    <row r="145" spans="1:2" x14ac:dyDescent="0.55000000000000004">
      <c r="A145">
        <v>39.319793969616398</v>
      </c>
      <c r="B145">
        <v>1.14366089317727</v>
      </c>
    </row>
    <row r="146" spans="1:2" x14ac:dyDescent="0.55000000000000004">
      <c r="A146">
        <v>39.857017431689002</v>
      </c>
      <c r="B146">
        <v>1.14533705051145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program</vt:lpstr>
      <vt:lpstr>podatki</vt:lpstr>
      <vt:lpstr>podatki_lopatica</vt:lpstr>
      <vt:lpstr>qblade_podatki</vt:lpstr>
      <vt:lpstr>podatki_NACA0012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Uporabnik</dc:creator>
  <cp:lastModifiedBy>miha</cp:lastModifiedBy>
  <dcterms:created xsi:type="dcterms:W3CDTF">2018-08-07T13:47:11Z</dcterms:created>
  <dcterms:modified xsi:type="dcterms:W3CDTF">2018-09-02T11:31:47Z</dcterms:modified>
</cp:coreProperties>
</file>